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/Users/larsgratz/Projects/SectorScreener/data-fetchers/"/>
    </mc:Choice>
  </mc:AlternateContent>
  <xr:revisionPtr revIDLastSave="0" documentId="13_ncr:1_{4E79E152-7C69-2446-8C6B-8411C09BF932}" xr6:coauthVersionLast="47" xr6:coauthVersionMax="47" xr10:uidLastSave="{00000000-0000-0000-0000-000000000000}"/>
  <bookViews>
    <workbookView xWindow="-21700" yWindow="-28280" windowWidth="68800" windowHeight="28300" activeTab="1" xr2:uid="{BEE40854-6986-8A4B-A412-C0420EE3F0C0}"/>
  </bookViews>
  <sheets>
    <sheet name="combined-sector-data" sheetId="11" r:id="rId1"/>
    <sheet name="combined-price-data" sheetId="8" r:id="rId2"/>
  </sheets>
  <definedNames>
    <definedName name="_xlchart.v1.2" hidden="1">'combined-price-data'!$A$2:$A$13</definedName>
    <definedName name="_xlchart.v1.3" hidden="1">'combined-price-data'!$AB$2:$AB$13</definedName>
    <definedName name="_xlchart.v2.0" hidden="1">'combined-price-data'!$A$2:$A$13</definedName>
    <definedName name="_xlchart.v2.1" hidden="1">'combined-price-data'!$AB$2:$AB$13</definedName>
    <definedName name="ExternalData_2" localSheetId="1" hidden="1">'combined-price-data'!$A$1:$AA$13</definedName>
    <definedName name="ExternalData_2" localSheetId="0" hidden="1">'combined-sector-data'!$A$1:$N$13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2" i="8" l="1"/>
  <c r="AB3" i="8"/>
  <c r="AB4" i="8"/>
  <c r="AB5" i="8"/>
  <c r="AB6" i="8"/>
  <c r="AB7" i="8"/>
  <c r="AB8" i="8"/>
  <c r="AB9" i="8"/>
  <c r="AB10" i="8"/>
  <c r="AB11" i="8"/>
  <c r="AB12" i="8"/>
  <c r="AB13" i="8"/>
  <c r="P2" i="11"/>
  <c r="P6" i="11"/>
  <c r="P8" i="11"/>
  <c r="P13" i="11"/>
  <c r="P7" i="11"/>
  <c r="P11" i="11"/>
  <c r="P4" i="11"/>
  <c r="P5" i="11"/>
  <c r="P3" i="11"/>
  <c r="P12" i="11"/>
  <c r="P9" i="11"/>
  <c r="P10" i="11"/>
  <c r="O2" i="11"/>
  <c r="O6" i="11"/>
  <c r="Q6" i="11" s="1"/>
  <c r="O8" i="11"/>
  <c r="Q8" i="11" s="1"/>
  <c r="O13" i="11"/>
  <c r="Q13" i="11" s="1"/>
  <c r="O7" i="11"/>
  <c r="O11" i="11"/>
  <c r="O4" i="11"/>
  <c r="O5" i="11"/>
  <c r="O3" i="11"/>
  <c r="Q3" i="11" s="1"/>
  <c r="O12" i="11"/>
  <c r="Q12" i="11" s="1"/>
  <c r="O9" i="11"/>
  <c r="Q9" i="11" s="1"/>
  <c r="O10" i="11"/>
  <c r="Q10" i="11" s="1"/>
  <c r="Q4" i="11" l="1"/>
  <c r="Q11" i="11"/>
  <c r="Q5" i="11"/>
  <c r="Q7" i="11"/>
  <c r="Q2" i="1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7BFFEB-8E37-1445-B596-30364D4E7B48}" keepAlive="1" name="Query - combined-price-data" description="Connection to the 'combined-price-data' query in the workbook." type="5" refreshedVersion="8" background="1" saveData="1">
    <dbPr connection="Provider=Microsoft.Mashup.OleDb.1;Data Source=$Workbook$;Location=combined-price-data;Extended Properties=&quot;&quot;" command="SELECT * FROM [combined-price-data]"/>
  </connection>
  <connection id="2" xr16:uid="{076D6A49-7ECC-8947-82DF-2D42C63F976D}" keepAlive="1" name="Query - combined-sector-data" description="Connection to the 'combined-sector-data' query in the workbook." type="5" refreshedVersion="8" background="1" saveData="1">
    <dbPr connection="Provider=Microsoft.Mashup.OleDb.1;Data Source=$Workbook$;Location=combined-sector-data;Extended Properties=&quot;&quot;" command="SELECT * FROM [combined-sector-data]"/>
  </connection>
  <connection id="3" xr16:uid="{71ACE224-6525-6646-82E2-5C6CAC7370C5}" keepAlive="1" name="Query - combined-sector-data (2)" description="Connection to the 'combined-sector-data (2)' query in the workbook." type="5" refreshedVersion="0" background="1">
    <dbPr connection="Provider=Microsoft.Mashup.OleDb.1;Data Source=$Workbook$;Location=&quot;combined-sector-data (2)&quot;;Extended Properties=&quot;&quot;" command="SELECT * FROM [combined-sector-data (2)]"/>
  </connection>
  <connection id="4" xr16:uid="{FFEF93EE-E4AC-AB4B-A93D-EEC3A2F740CD}" keepAlive="1" name="Query - combined-sector-data (3)" description="Connection to the 'combined-sector-data (3)' query in the workbook." type="5" refreshedVersion="8" background="1" saveData="1">
    <dbPr connection="Provider=Microsoft.Mashup.OleDb.1;Data Source=$Workbook$;Location=&quot;combined-sector-data (3)&quot;;Extended Properties=&quot;&quot;" command="SELECT * FROM [combined-sector-data (3)]"/>
  </connection>
</connections>
</file>

<file path=xl/sharedStrings.xml><?xml version="1.0" encoding="utf-8"?>
<sst xmlns="http://schemas.openxmlformats.org/spreadsheetml/2006/main" count="201" uniqueCount="82">
  <si>
    <t>fund_id</t>
  </si>
  <si>
    <t>prospectiveEarningsYield</t>
  </si>
  <si>
    <t>prospectiveBookValueYield</t>
  </si>
  <si>
    <t>prospectiveRevenueYield</t>
  </si>
  <si>
    <t>prospectiveCashFlowYield</t>
  </si>
  <si>
    <t>prospectiveDividendYield</t>
  </si>
  <si>
    <t>forecasted5YearEarningsGrowth</t>
  </si>
  <si>
    <t>forecastedEarningsGrowth</t>
  </si>
  <si>
    <t>forecastedBookValueGrowth</t>
  </si>
  <si>
    <t>forecastedRevenueGrowth</t>
  </si>
  <si>
    <t>forecastedCashFlowGrowth</t>
  </si>
  <si>
    <t>portfolioDate</t>
  </si>
  <si>
    <t>currencyId</t>
  </si>
  <si>
    <t>0P0001IM5P</t>
  </si>
  <si>
    <t>EUR</t>
  </si>
  <si>
    <t>0P0001PVDX</t>
  </si>
  <si>
    <t>0P0001K9I4</t>
  </si>
  <si>
    <t>CHF</t>
  </si>
  <si>
    <t>F00001EK0E</t>
  </si>
  <si>
    <t>0P0001PVEX</t>
  </si>
  <si>
    <t>USD</t>
  </si>
  <si>
    <t>0P0001PVEF</t>
  </si>
  <si>
    <t>0P0001FHMG</t>
  </si>
  <si>
    <t>F000011FXJ</t>
  </si>
  <si>
    <t>F0000171MM</t>
  </si>
  <si>
    <t>0P0001IM5L</t>
  </si>
  <si>
    <t>0P0001IM5Q</t>
  </si>
  <si>
    <t>0P0001IM5I</t>
  </si>
  <si>
    <t>PEG</t>
  </si>
  <si>
    <t>PCFG</t>
  </si>
  <si>
    <t>Normalized PEG PCFG</t>
  </si>
  <si>
    <t>fund_name</t>
  </si>
  <si>
    <t>fetch_timestamp</t>
  </si>
  <si>
    <t>lastPrice</t>
  </si>
  <si>
    <t>nav</t>
  </si>
  <si>
    <t>volume</t>
  </si>
  <si>
    <t>asOfDate</t>
  </si>
  <si>
    <t>openPrice</t>
  </si>
  <si>
    <t>bid</t>
  </si>
  <si>
    <t>ask</t>
  </si>
  <si>
    <t>yearRangeHigh</t>
  </si>
  <si>
    <t>yearRangeLow</t>
  </si>
  <si>
    <t>lastIIVPrice</t>
  </si>
  <si>
    <t>premium</t>
  </si>
  <si>
    <t>avgVolume</t>
  </si>
  <si>
    <t>dayRangeHigh</t>
  </si>
  <si>
    <t>dayRangeLow</t>
  </si>
  <si>
    <t>currencyCode</t>
  </si>
  <si>
    <t>asOfDateNav</t>
  </si>
  <si>
    <t>asOfDateLastPriceFund</t>
  </si>
  <si>
    <t>asOfDateIIV</t>
  </si>
  <si>
    <t>exchangeName</t>
  </si>
  <si>
    <t>exchangeTimeZone</t>
  </si>
  <si>
    <t>lastClose</t>
  </si>
  <si>
    <t>spread</t>
  </si>
  <si>
    <t>currencySymbol</t>
  </si>
  <si>
    <t>tradingStatus</t>
  </si>
  <si>
    <t>Amundi S&amp;P World Communication Services</t>
  </si>
  <si>
    <t/>
  </si>
  <si>
    <t>Deutsche Boerse Xetra</t>
  </si>
  <si>
    <t>CET</t>
  </si>
  <si>
    <t>€</t>
  </si>
  <si>
    <t>Open</t>
  </si>
  <si>
    <t>Amundi MSCI Semiconductors</t>
  </si>
  <si>
    <t>Post-Trading</t>
  </si>
  <si>
    <t>Amundi S&amp;P World Industrials</t>
  </si>
  <si>
    <t>Amundi S&amp;P World Materials</t>
  </si>
  <si>
    <t>Amundi S&amp;P World Utilities</t>
  </si>
  <si>
    <t>HSBC FTSE EPRA/NAREIT Developed</t>
  </si>
  <si>
    <t>Borsa Italiana</t>
  </si>
  <si>
    <t>Closed</t>
  </si>
  <si>
    <t>iShares Digital Security</t>
  </si>
  <si>
    <t>London Stock Exchange</t>
  </si>
  <si>
    <t>BST</t>
  </si>
  <si>
    <t>$</t>
  </si>
  <si>
    <t>iShares MSCI World Financials</t>
  </si>
  <si>
    <t>Euronext Amsterdam - Equities</t>
  </si>
  <si>
    <t>iShares MSCI World Health Care</t>
  </si>
  <si>
    <t>iShares MSCI World Consumer Staples</t>
  </si>
  <si>
    <t>iShares MSCI World Information Technology</t>
  </si>
  <si>
    <t>iShares MSCI World Consumer Discretionary</t>
  </si>
  <si>
    <t>Deviation from Year High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</si>
</sst>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2" fontId="0" fillId="0" borderId="0" xfId="0" applyNumberFormat="1"/>
    <xf numFmtId="0" fontId="0" fillId="0" borderId="0" xfId="0" applyNumberFormat="1"/>
    <xf numFmtId="10" fontId="0" fillId="0" borderId="0" xfId="0" applyNumberFormat="1"/>
  </cellXfs>
  <cellStyles count="1">
    <cellStyle name="Normal" xfId="0" builtinId="0"/>
  </cellStyles>
  <dxfs count="22">
    <dxf>
      <numFmt numFmtId="14" formatCode="0.0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d/mm/yy\ h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d/mm/yy\ hh:mm"/>
    </dxf>
    <dxf>
      <numFmt numFmtId="27" formatCode="dd/mm/yy\ hh:mm"/>
    </dxf>
    <dxf>
      <numFmt numFmtId="0" formatCode="General"/>
    </dxf>
    <dxf>
      <numFmt numFmtId="0" formatCode="General"/>
    </dxf>
    <dxf>
      <numFmt numFmtId="0" formatCode="General"/>
    </dxf>
    <dxf>
      <numFmt numFmtId="27" formatCode="dd/mm/yy\ hh:mm"/>
    </dxf>
    <dxf>
      <numFmt numFmtId="27" formatCode="dd/mm/yy\ hh:mm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PEG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'combined-sector-data'!$A$2:$A$13</c:f>
              <c:strCache>
                <c:ptCount val="12"/>
                <c:pt idx="0">
                  <c:v>Amundi S&amp;P World Communication Services</c:v>
                </c:pt>
                <c:pt idx="1">
                  <c:v>iShares MSCI World Health Care</c:v>
                </c:pt>
                <c:pt idx="2">
                  <c:v>iShares Digital Security</c:v>
                </c:pt>
                <c:pt idx="3">
                  <c:v>iShares MSCI World Financials</c:v>
                </c:pt>
                <c:pt idx="4">
                  <c:v>Amundi MSCI Semiconductors</c:v>
                </c:pt>
                <c:pt idx="5">
                  <c:v>Amundi S&amp;P World Utilities</c:v>
                </c:pt>
                <c:pt idx="6">
                  <c:v>Amundi S&amp;P World Industrials</c:v>
                </c:pt>
                <c:pt idx="7">
                  <c:v>iShares MSCI World Information Technology</c:v>
                </c:pt>
                <c:pt idx="8">
                  <c:v>iShares MSCI World Consumer Discretionary</c:v>
                </c:pt>
                <c:pt idx="9">
                  <c:v>HSBC FTSE EPRA/NAREIT Developed</c:v>
                </c:pt>
                <c:pt idx="10">
                  <c:v>iShares MSCI World Consumer Staples</c:v>
                </c:pt>
                <c:pt idx="11">
                  <c:v>Amundi S&amp;P World Materials</c:v>
                </c:pt>
              </c:strCache>
            </c:strRef>
          </c:cat>
          <c:val>
            <c:numRef>
              <c:f>'combined-sector-data'!$O$2:$O$13</c:f>
              <c:numCache>
                <c:formatCode>General</c:formatCode>
                <c:ptCount val="12"/>
                <c:pt idx="0">
                  <c:v>0.8840495533231072</c:v>
                </c:pt>
                <c:pt idx="1">
                  <c:v>3.5862115267607999</c:v>
                </c:pt>
                <c:pt idx="2">
                  <c:v>1.5160849740626485</c:v>
                </c:pt>
                <c:pt idx="3">
                  <c:v>1.3353320488588467</c:v>
                </c:pt>
                <c:pt idx="4">
                  <c:v>1.6260534776178535</c:v>
                </c:pt>
                <c:pt idx="5">
                  <c:v>1.8591095995167399</c:v>
                </c:pt>
                <c:pt idx="6">
                  <c:v>2.1176816397350566</c:v>
                </c:pt>
                <c:pt idx="7">
                  <c:v>1.9316130164043666</c:v>
                </c:pt>
                <c:pt idx="8">
                  <c:v>3.3768380160023357</c:v>
                </c:pt>
                <c:pt idx="9">
                  <c:v>-7.4733611050208291</c:v>
                </c:pt>
                <c:pt idx="10">
                  <c:v>15.647401266766023</c:v>
                </c:pt>
                <c:pt idx="11">
                  <c:v>-3.5295349036729173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732-A34F-893A-51A98D05EA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61376607"/>
        <c:axId val="2049764223"/>
      </c:barChart>
      <c:catAx>
        <c:axId val="20613766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E"/>
          </a:p>
        </c:txPr>
        <c:crossAx val="2049764223"/>
        <c:crosses val="autoZero"/>
        <c:auto val="1"/>
        <c:lblAlgn val="ctr"/>
        <c:lblOffset val="100"/>
        <c:noMultiLvlLbl val="0"/>
      </c:catAx>
      <c:valAx>
        <c:axId val="20497642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E"/>
          </a:p>
        </c:txPr>
        <c:crossAx val="206137660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DE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PCFG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'combined-sector-data'!$A$2:$A$13</c:f>
              <c:strCache>
                <c:ptCount val="12"/>
                <c:pt idx="0">
                  <c:v>Amundi S&amp;P World Communication Services</c:v>
                </c:pt>
                <c:pt idx="1">
                  <c:v>iShares MSCI World Health Care</c:v>
                </c:pt>
                <c:pt idx="2">
                  <c:v>iShares Digital Security</c:v>
                </c:pt>
                <c:pt idx="3">
                  <c:v>iShares MSCI World Financials</c:v>
                </c:pt>
                <c:pt idx="4">
                  <c:v>Amundi MSCI Semiconductors</c:v>
                </c:pt>
                <c:pt idx="5">
                  <c:v>Amundi S&amp;P World Utilities</c:v>
                </c:pt>
                <c:pt idx="6">
                  <c:v>Amundi S&amp;P World Industrials</c:v>
                </c:pt>
                <c:pt idx="7">
                  <c:v>iShares MSCI World Information Technology</c:v>
                </c:pt>
                <c:pt idx="8">
                  <c:v>iShares MSCI World Consumer Discretionary</c:v>
                </c:pt>
                <c:pt idx="9">
                  <c:v>HSBC FTSE EPRA/NAREIT Developed</c:v>
                </c:pt>
                <c:pt idx="10">
                  <c:v>iShares MSCI World Consumer Staples</c:v>
                </c:pt>
                <c:pt idx="11">
                  <c:v>Amundi S&amp;P World Materials</c:v>
                </c:pt>
              </c:strCache>
            </c:strRef>
          </c:cat>
          <c:val>
            <c:numRef>
              <c:f>'combined-sector-data'!$P$2:$P$13</c:f>
              <c:numCache>
                <c:formatCode>General</c:formatCode>
                <c:ptCount val="12"/>
                <c:pt idx="0">
                  <c:v>1.1842583164404419</c:v>
                </c:pt>
                <c:pt idx="1">
                  <c:v>-1.4581854768537141</c:v>
                </c:pt>
                <c:pt idx="2">
                  <c:v>0.68194957173366932</c:v>
                </c:pt>
                <c:pt idx="3">
                  <c:v>1.0355358939222319</c:v>
                </c:pt>
                <c:pt idx="4">
                  <c:v>1.1666565704865888</c:v>
                </c:pt>
                <c:pt idx="5">
                  <c:v>1.0454439747746267</c:v>
                </c:pt>
                <c:pt idx="6">
                  <c:v>0.90498487765005442</c:v>
                </c:pt>
                <c:pt idx="7">
                  <c:v>1.3790714465955622</c:v>
                </c:pt>
                <c:pt idx="8">
                  <c:v>0.56470466364543281</c:v>
                </c:pt>
                <c:pt idx="9">
                  <c:v>12.417570978738908</c:v>
                </c:pt>
                <c:pt idx="10">
                  <c:v>2.0631417220650459</c:v>
                </c:pt>
                <c:pt idx="11">
                  <c:v>87.936686752248718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769-9C49-8795-A985557DA2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93352111"/>
        <c:axId val="2093353839"/>
      </c:barChart>
      <c:catAx>
        <c:axId val="20933521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E"/>
          </a:p>
        </c:txPr>
        <c:crossAx val="2093353839"/>
        <c:crosses val="autoZero"/>
        <c:auto val="1"/>
        <c:lblAlgn val="ctr"/>
        <c:lblOffset val="100"/>
        <c:noMultiLvlLbl val="0"/>
      </c:catAx>
      <c:valAx>
        <c:axId val="20933538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E"/>
          </a:p>
        </c:txPr>
        <c:crossAx val="209335211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DE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Normalized PEG PCFG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'combined-sector-data'!$A$2:$A$13</c:f>
              <c:strCache>
                <c:ptCount val="12"/>
                <c:pt idx="0">
                  <c:v>Amundi S&amp;P World Communication Services</c:v>
                </c:pt>
                <c:pt idx="1">
                  <c:v>iShares MSCI World Health Care</c:v>
                </c:pt>
                <c:pt idx="2">
                  <c:v>iShares Digital Security</c:v>
                </c:pt>
                <c:pt idx="3">
                  <c:v>iShares MSCI World Financials</c:v>
                </c:pt>
                <c:pt idx="4">
                  <c:v>Amundi MSCI Semiconductors</c:v>
                </c:pt>
                <c:pt idx="5">
                  <c:v>Amundi S&amp;P World Utilities</c:v>
                </c:pt>
                <c:pt idx="6">
                  <c:v>Amundi S&amp;P World Industrials</c:v>
                </c:pt>
                <c:pt idx="7">
                  <c:v>iShares MSCI World Information Technology</c:v>
                </c:pt>
                <c:pt idx="8">
                  <c:v>iShares MSCI World Consumer Discretionary</c:v>
                </c:pt>
                <c:pt idx="9">
                  <c:v>HSBC FTSE EPRA/NAREIT Developed</c:v>
                </c:pt>
                <c:pt idx="10">
                  <c:v>iShares MSCI World Consumer Staples</c:v>
                </c:pt>
                <c:pt idx="11">
                  <c:v>Amundi S&amp;P World Materials</c:v>
                </c:pt>
              </c:strCache>
            </c:strRef>
          </c:cat>
          <c:val>
            <c:numRef>
              <c:f>'combined-sector-data'!$Q$2:$Q$13</c:f>
              <c:numCache>
                <c:formatCode>General</c:formatCode>
                <c:ptCount val="12"/>
                <c:pt idx="0">
                  <c:v>1.0341539348817745</c:v>
                </c:pt>
                <c:pt idx="1">
                  <c:v>1.0640130249535429</c:v>
                </c:pt>
                <c:pt idx="2">
                  <c:v>1.0990172728981589</c:v>
                </c:pt>
                <c:pt idx="3">
                  <c:v>1.1854339713905393</c:v>
                </c:pt>
                <c:pt idx="4">
                  <c:v>1.3963550240522211</c:v>
                </c:pt>
                <c:pt idx="5">
                  <c:v>1.4522767871456832</c:v>
                </c:pt>
                <c:pt idx="6">
                  <c:v>1.5113332586925554</c:v>
                </c:pt>
                <c:pt idx="7">
                  <c:v>1.6553422314999644</c:v>
                </c:pt>
                <c:pt idx="8">
                  <c:v>1.9707713398238842</c:v>
                </c:pt>
                <c:pt idx="9">
                  <c:v>2.4721049368590395</c:v>
                </c:pt>
                <c:pt idx="10">
                  <c:v>8.8552714944155344</c:v>
                </c:pt>
                <c:pt idx="11">
                  <c:v>42.203575924287904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AF6-884C-8DA2-E70296662F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77477583"/>
        <c:axId val="2077479311"/>
      </c:barChart>
      <c:catAx>
        <c:axId val="20774775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E"/>
          </a:p>
        </c:txPr>
        <c:crossAx val="2077479311"/>
        <c:crosses val="autoZero"/>
        <c:auto val="1"/>
        <c:lblAlgn val="ctr"/>
        <c:lblOffset val="100"/>
        <c:noMultiLvlLbl val="0"/>
      </c:catAx>
      <c:valAx>
        <c:axId val="20774793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E"/>
          </a:p>
        </c:txPr>
        <c:crossAx val="20774775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DE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Drawdown from 1 Year High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'combined-price-data'!$A$2:$A$13</c:f>
              <c:strCache>
                <c:ptCount val="12"/>
                <c:pt idx="0">
                  <c:v>Amundi S&amp;P World Industrials</c:v>
                </c:pt>
                <c:pt idx="1">
                  <c:v>Amundi S&amp;P World Materials</c:v>
                </c:pt>
                <c:pt idx="2">
                  <c:v>iShares MSCI World Consumer Staples</c:v>
                </c:pt>
                <c:pt idx="3">
                  <c:v>iShares MSCI World Information Technology</c:v>
                </c:pt>
                <c:pt idx="4">
                  <c:v>iShares MSCI World Health Care</c:v>
                </c:pt>
                <c:pt idx="5">
                  <c:v>iShares MSCI World Consumer Discretionary</c:v>
                </c:pt>
                <c:pt idx="6">
                  <c:v>HSBC FTSE EPRA/NAREIT Developed</c:v>
                </c:pt>
                <c:pt idx="7">
                  <c:v>iShares Digital Security</c:v>
                </c:pt>
                <c:pt idx="8">
                  <c:v>Amundi S&amp;P World Communication Services</c:v>
                </c:pt>
                <c:pt idx="9">
                  <c:v>Amundi S&amp;P World Utilities</c:v>
                </c:pt>
                <c:pt idx="10">
                  <c:v>Amundi MSCI Semiconductors</c:v>
                </c:pt>
                <c:pt idx="11">
                  <c:v>iShares MSCI World Financials</c:v>
                </c:pt>
              </c:strCache>
            </c:strRef>
          </c:cat>
          <c:val>
            <c:numRef>
              <c:f>'combined-price-data'!$AB$2:$AB$13</c:f>
              <c:numCache>
                <c:formatCode>0.00%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0.18395969498910669</c:v>
                </c:pt>
                <c:pt idx="5">
                  <c:v>0.14494229463679553</c:v>
                </c:pt>
                <c:pt idx="6">
                  <c:v>0.12517919075144512</c:v>
                </c:pt>
                <c:pt idx="7">
                  <c:v>3.4683130561104059E-2</c:v>
                </c:pt>
                <c:pt idx="8">
                  <c:v>1.9175455417066112E-2</c:v>
                </c:pt>
                <c:pt idx="9">
                  <c:v>1.8731988472622363E-2</c:v>
                </c:pt>
                <c:pt idx="10">
                  <c:v>1.6442451420029758E-2</c:v>
                </c:pt>
                <c:pt idx="11">
                  <c:v>8.0505108978069506E-3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635-B144-9191-A6E7BE1DA4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77423343"/>
        <c:axId val="2077449903"/>
      </c:barChart>
      <c:catAx>
        <c:axId val="20774233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E"/>
          </a:p>
        </c:txPr>
        <c:crossAx val="2077449903"/>
        <c:crosses val="autoZero"/>
        <c:auto val="1"/>
        <c:lblAlgn val="ctr"/>
        <c:lblOffset val="100"/>
        <c:noMultiLvlLbl val="0"/>
      </c:catAx>
      <c:valAx>
        <c:axId val="2077449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E"/>
          </a:p>
        </c:txPr>
        <c:crossAx val="207742334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D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15</xdr:row>
      <xdr:rowOff>190500</xdr:rowOff>
    </xdr:from>
    <xdr:to>
      <xdr:col>5</xdr:col>
      <xdr:colOff>12700</xdr:colOff>
      <xdr:row>55</xdr:row>
      <xdr:rowOff>190500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624A3BC-A5F0-619E-C24D-AAE8A17F711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25400</xdr:colOff>
      <xdr:row>15</xdr:row>
      <xdr:rowOff>190500</xdr:rowOff>
    </xdr:from>
    <xdr:to>
      <xdr:col>10</xdr:col>
      <xdr:colOff>0</xdr:colOff>
      <xdr:row>56</xdr:row>
      <xdr:rowOff>25400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DE120A6-A342-8D33-9987-D5205A7E9F6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2108200</xdr:colOff>
      <xdr:row>15</xdr:row>
      <xdr:rowOff>190500</xdr:rowOff>
    </xdr:from>
    <xdr:to>
      <xdr:col>17</xdr:col>
      <xdr:colOff>12700</xdr:colOff>
      <xdr:row>56</xdr:row>
      <xdr:rowOff>38100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CB54E53-2FA0-F978-457C-EC406F0A7AD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12700</xdr:colOff>
      <xdr:row>14</xdr:row>
      <xdr:rowOff>190500</xdr:rowOff>
    </xdr:from>
    <xdr:to>
      <xdr:col>11</xdr:col>
      <xdr:colOff>1181100</xdr:colOff>
      <xdr:row>49</xdr:row>
      <xdr:rowOff>190500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7BB46FF-C8DA-B828-A7CB-44AB55504C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4" xr16:uid="{86FD5AEC-4F07-0841-9A8E-15932A4E2192}" autoFormatId="16" applyNumberFormats="0" applyBorderFormats="0" applyFontFormats="0" applyPatternFormats="0" applyAlignmentFormats="0" applyWidthHeightFormats="0">
  <queryTableRefresh nextId="18" unboundColumnsRight="3">
    <queryTableFields count="17">
      <queryTableField id="1" name="fund_name" tableColumnId="1"/>
      <queryTableField id="2" name="fund_id" tableColumnId="2"/>
      <queryTableField id="3" name="prospectiveEarningsYield" tableColumnId="3"/>
      <queryTableField id="4" name="prospectiveBookValueYield" tableColumnId="4"/>
      <queryTableField id="5" name="prospectiveRevenueYield" tableColumnId="5"/>
      <queryTableField id="6" name="prospectiveCashFlowYield" tableColumnId="6"/>
      <queryTableField id="7" name="prospectiveDividendYield" tableColumnId="7"/>
      <queryTableField id="8" name="forecasted5YearEarningsGrowth" tableColumnId="8"/>
      <queryTableField id="9" name="forecastedEarningsGrowth" tableColumnId="9"/>
      <queryTableField id="10" name="forecastedBookValueGrowth" tableColumnId="10"/>
      <queryTableField id="11" name="forecastedRevenueGrowth" tableColumnId="11"/>
      <queryTableField id="12" name="forecastedCashFlowGrowth" tableColumnId="12"/>
      <queryTableField id="13" name="portfolioDate" tableColumnId="13"/>
      <queryTableField id="14" name="currencyId" tableColumnId="14"/>
      <queryTableField id="15" dataBound="0" tableColumnId="15"/>
      <queryTableField id="16" dataBound="0" tableColumnId="16"/>
      <queryTableField id="17" dataBound="0" tableColumnId="17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" xr16:uid="{E6A430A9-D734-004A-B89A-A6657E7B90A1}" autoFormatId="16" applyNumberFormats="0" applyBorderFormats="0" applyFontFormats="0" applyPatternFormats="0" applyAlignmentFormats="0" applyWidthHeightFormats="0">
  <queryTableRefresh nextId="29" unboundColumnsRight="1">
    <queryTableFields count="28">
      <queryTableField id="1" name="fund_name" tableColumnId="1"/>
      <queryTableField id="2" name="fund_id" tableColumnId="2"/>
      <queryTableField id="3" name="fetch_timestamp" tableColumnId="3"/>
      <queryTableField id="4" name="lastPrice" tableColumnId="4"/>
      <queryTableField id="5" name="nav" tableColumnId="5"/>
      <queryTableField id="6" name="volume" tableColumnId="6"/>
      <queryTableField id="7" name="asOfDate" tableColumnId="7"/>
      <queryTableField id="8" name="openPrice" tableColumnId="8"/>
      <queryTableField id="9" name="bid" tableColumnId="9"/>
      <queryTableField id="10" name="ask" tableColumnId="10"/>
      <queryTableField id="11" name="yearRangeHigh" tableColumnId="11"/>
      <queryTableField id="12" name="yearRangeLow" tableColumnId="12"/>
      <queryTableField id="13" name="lastIIVPrice" tableColumnId="13"/>
      <queryTableField id="14" name="premium" tableColumnId="14"/>
      <queryTableField id="15" name="avgVolume" tableColumnId="15"/>
      <queryTableField id="16" name="dayRangeHigh" tableColumnId="16"/>
      <queryTableField id="17" name="dayRangeLow" tableColumnId="17"/>
      <queryTableField id="18" name="currencyCode" tableColumnId="18"/>
      <queryTableField id="19" name="asOfDateNav" tableColumnId="19"/>
      <queryTableField id="20" name="asOfDateLastPriceFund" tableColumnId="20"/>
      <queryTableField id="21" name="asOfDateIIV" tableColumnId="21"/>
      <queryTableField id="22" name="exchangeName" tableColumnId="22"/>
      <queryTableField id="23" name="exchangeTimeZone" tableColumnId="23"/>
      <queryTableField id="24" name="lastClose" tableColumnId="24"/>
      <queryTableField id="25" name="spread" tableColumnId="25"/>
      <queryTableField id="26" name="currencySymbol" tableColumnId="26"/>
      <queryTableField id="27" name="tradingStatus" tableColumnId="27"/>
      <queryTableField id="28" dataBound="0" tableColumnId="2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56D17620-8AEE-EA4C-8830-324F92C8D68D}" name="combined_sector_data__3" displayName="combined_sector_data__3" ref="A1:Q13" tableType="queryTable" totalsRowShown="0">
  <autoFilter ref="A1:Q13" xr:uid="{56D17620-8AEE-EA4C-8830-324F92C8D68D}"/>
  <sortState xmlns:xlrd2="http://schemas.microsoft.com/office/spreadsheetml/2017/richdata2" ref="A2:Q13">
    <sortCondition ref="Q1:Q13"/>
  </sortState>
  <tableColumns count="17">
    <tableColumn id="1" xr3:uid="{F6AF3527-5E40-F74B-A558-B74898A0C5C5}" uniqueName="1" name="fund_name" queryTableFieldId="1" dataDxfId="7"/>
    <tableColumn id="2" xr3:uid="{D515F700-2C5B-E646-B22C-CD080F0AF05F}" uniqueName="2" name="fund_id" queryTableFieldId="2" dataDxfId="6"/>
    <tableColumn id="3" xr3:uid="{D0A05961-CA51-C744-99EB-3BD8B446E76A}" uniqueName="3" name="prospectiveEarningsYield" queryTableFieldId="3"/>
    <tableColumn id="4" xr3:uid="{1D178B90-7A50-6E40-8E9A-E8B92AFB4F6D}" uniqueName="4" name="prospectiveBookValueYield" queryTableFieldId="4"/>
    <tableColumn id="5" xr3:uid="{D6AA5B17-37B6-2D41-9DCB-1A7812F59728}" uniqueName="5" name="prospectiveRevenueYield" queryTableFieldId="5"/>
    <tableColumn id="6" xr3:uid="{D224FAD5-FDF8-9A4C-B10A-4E5CEACD63AC}" uniqueName="6" name="prospectiveCashFlowYield" queryTableFieldId="6"/>
    <tableColumn id="7" xr3:uid="{D1E9C6A6-9591-234F-84ED-132822B4BF6C}" uniqueName="7" name="prospectiveDividendYield" queryTableFieldId="7"/>
    <tableColumn id="8" xr3:uid="{B025FF0E-930D-AA4C-B715-0F465E1EC9B2}" uniqueName="8" name="forecasted5YearEarningsGrowth" queryTableFieldId="8"/>
    <tableColumn id="9" xr3:uid="{CED9C794-E1C5-A444-9CED-2F21705DBA91}" uniqueName="9" name="forecastedEarningsGrowth" queryTableFieldId="9"/>
    <tableColumn id="10" xr3:uid="{6C6765E4-239F-EF4E-AA49-1B6CF4DA186B}" uniqueName="10" name="forecastedBookValueGrowth" queryTableFieldId="10"/>
    <tableColumn id="11" xr3:uid="{3C92B50D-C876-0B4B-9D1C-896A210F113C}" uniqueName="11" name="forecastedRevenueGrowth" queryTableFieldId="11"/>
    <tableColumn id="12" xr3:uid="{01C3BA8A-562E-B749-8759-06448AFEB2A9}" uniqueName="12" name="forecastedCashFlowGrowth" queryTableFieldId="12"/>
    <tableColumn id="13" xr3:uid="{842C0F90-5B41-234E-8BA9-7EF7E3260404}" uniqueName="13" name="portfolioDate" queryTableFieldId="13" dataDxfId="5"/>
    <tableColumn id="14" xr3:uid="{B7704343-2BBC-5744-B920-09BA238B43A7}" uniqueName="14" name="currencyId" queryTableFieldId="14" dataDxfId="4"/>
    <tableColumn id="15" xr3:uid="{CAA0696A-C17C-1B4B-B257-1DA013BE1D1E}" uniqueName="15" name="PEG" queryTableFieldId="15" dataDxfId="3">
      <calculatedColumnFormula>combined_sector_data__3[[#This Row],[prospectiveEarningsYield]]/combined_sector_data__3[[#This Row],[forecastedEarningsGrowth]]</calculatedColumnFormula>
    </tableColumn>
    <tableColumn id="16" xr3:uid="{FEC3B4A2-F96E-FD47-A617-3BDE76CCFCB7}" uniqueName="16" name="PCFG" queryTableFieldId="16" dataDxfId="2">
      <calculatedColumnFormula>combined_sector_data__3[[#This Row],[prospectiveCashFlowYield]]/combined_sector_data__3[[#This Row],[forecastedCashFlowGrowth]]</calculatedColumnFormula>
    </tableColumn>
    <tableColumn id="17" xr3:uid="{16B97654-4CB8-A141-BD98-FAF15B7C939D}" uniqueName="17" name="Normalized PEG PCFG" queryTableFieldId="17" dataDxfId="1">
      <calculatedColumnFormula>SUM(combined_sector_data__3[[#This Row],[PEG]],combined_sector_data__3[[#This Row],[PCFG]])/2</calculatedColumnFormula>
    </tableColumn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C6280DE-F01B-084E-8E2F-A23C10E55C95}" name="combined_price_data" displayName="combined_price_data" ref="A1:AB13" tableType="queryTable" totalsRowShown="0">
  <autoFilter ref="A1:AB13" xr:uid="{6C6280DE-F01B-084E-8E2F-A23C10E55C95}"/>
  <sortState xmlns:xlrd2="http://schemas.microsoft.com/office/spreadsheetml/2017/richdata2" ref="A2:AB13">
    <sortCondition descending="1" ref="AB1:AB13"/>
  </sortState>
  <tableColumns count="28">
    <tableColumn id="1" xr3:uid="{C91FA899-3351-A14C-A4FF-5067438C538B}" uniqueName="1" name="fund_name" queryTableFieldId="1" dataDxfId="21"/>
    <tableColumn id="2" xr3:uid="{6C4FE22A-76C6-874A-AF46-58BA546780C6}" uniqueName="2" name="fund_id" queryTableFieldId="2" dataDxfId="20"/>
    <tableColumn id="3" xr3:uid="{B1B0BFC9-14E7-4F42-BFCD-0E321671AE75}" uniqueName="3" name="fetch_timestamp" queryTableFieldId="3" dataDxfId="19"/>
    <tableColumn id="4" xr3:uid="{93F8B369-2643-0641-8284-856F74F2DCBC}" uniqueName="4" name="lastPrice" queryTableFieldId="4"/>
    <tableColumn id="5" xr3:uid="{F1154A21-AF3F-E743-B47E-552ACEE2840B}" uniqueName="5" name="nav" queryTableFieldId="5"/>
    <tableColumn id="6" xr3:uid="{47EF1945-60B0-704C-82AD-55E683645BA1}" uniqueName="6" name="volume" queryTableFieldId="6"/>
    <tableColumn id="7" xr3:uid="{D5674375-39B6-5A4B-BDE0-F6DD21F07614}" uniqueName="7" name="asOfDate" queryTableFieldId="7" dataDxfId="18"/>
    <tableColumn id="8" xr3:uid="{2B7F67AF-856D-864D-BF5C-37664182A2B4}" uniqueName="8" name="openPrice" queryTableFieldId="8"/>
    <tableColumn id="9" xr3:uid="{F24A2278-1F2B-9A47-9BEE-C6984249D644}" uniqueName="9" name="bid" queryTableFieldId="9"/>
    <tableColumn id="10" xr3:uid="{F929CB2F-8CA8-474F-A188-57CD98190548}" uniqueName="10" name="ask" queryTableFieldId="10"/>
    <tableColumn id="11" xr3:uid="{911718CF-29D2-C84F-B321-34603C2BF8EB}" uniqueName="11" name="yearRangeHigh" queryTableFieldId="11"/>
    <tableColumn id="12" xr3:uid="{462A0F41-91CC-644D-96E5-0C34FC9A3266}" uniqueName="12" name="yearRangeLow" queryTableFieldId="12"/>
    <tableColumn id="13" xr3:uid="{6FCB97DE-C994-A04B-8E20-3108A108E77F}" uniqueName="13" name="lastIIVPrice" queryTableFieldId="13" dataDxfId="17"/>
    <tableColumn id="14" xr3:uid="{BAADD549-A4AF-7E4B-8875-FF7FCDA72E61}" uniqueName="14" name="premium" queryTableFieldId="14" dataDxfId="16"/>
    <tableColumn id="15" xr3:uid="{832708EB-3702-CB45-86AB-5D1AB166152A}" uniqueName="15" name="avgVolume" queryTableFieldId="15"/>
    <tableColumn id="16" xr3:uid="{B8CC2710-D6BC-D348-A34E-F8B5E3A94251}" uniqueName="16" name="dayRangeHigh" queryTableFieldId="16"/>
    <tableColumn id="17" xr3:uid="{C0FFADA6-7BC7-CA45-B651-C7E25E57F447}" uniqueName="17" name="dayRangeLow" queryTableFieldId="17"/>
    <tableColumn id="18" xr3:uid="{112D5D40-91A5-0A49-8722-95BA1854596E}" uniqueName="18" name="currencyCode" queryTableFieldId="18" dataDxfId="15"/>
    <tableColumn id="19" xr3:uid="{5D2F2C76-5B90-EE4A-8130-D6A11246ABAE}" uniqueName="19" name="asOfDateNav" queryTableFieldId="19" dataDxfId="14"/>
    <tableColumn id="20" xr3:uid="{02DA577D-1AAE-BD49-B8B1-C9A945B03913}" uniqueName="20" name="asOfDateLastPriceFund" queryTableFieldId="20" dataDxfId="13"/>
    <tableColumn id="21" xr3:uid="{AB893968-F695-214B-B741-7E70438E7E3C}" uniqueName="21" name="asOfDateIIV" queryTableFieldId="21" dataDxfId="12"/>
    <tableColumn id="22" xr3:uid="{7AA00349-20DC-C446-B518-0F1B0CF15AC7}" uniqueName="22" name="exchangeName" queryTableFieldId="22" dataDxfId="11"/>
    <tableColumn id="23" xr3:uid="{272056AC-C014-BD4E-B027-E552BC78E00D}" uniqueName="23" name="exchangeTimeZone" queryTableFieldId="23" dataDxfId="10"/>
    <tableColumn id="24" xr3:uid="{29B944CE-341D-FB42-B816-6066D089D867}" uniqueName="24" name="lastClose" queryTableFieldId="24"/>
    <tableColumn id="25" xr3:uid="{0FFCD22D-F058-CE46-B1F4-2A09E65E46F1}" uniqueName="25" name="spread" queryTableFieldId="25"/>
    <tableColumn id="26" xr3:uid="{AE8C05A8-EDB3-2E4B-9A86-7DC5FEAAFD34}" uniqueName="26" name="currencySymbol" queryTableFieldId="26" dataDxfId="9"/>
    <tableColumn id="27" xr3:uid="{67D87BDE-3C4C-174C-BFD6-759973B445C1}" uniqueName="27" name="tradingStatus" queryTableFieldId="27" dataDxfId="8"/>
    <tableColumn id="28" xr3:uid="{BDBEA38F-B01D-1B4E-8C53-04616F1CAC7C}" uniqueName="28" name="Deviation from Year High" queryTableFieldId="28" dataDxfId="0">
      <calculatedColumnFormula>1-combined_price_data[[#This Row],[lastPrice]]/combined_price_data[[#This Row],[yearRangeHigh]]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AF1880-21A1-1C4B-BB6C-4C9E79FEF14F}">
  <dimension ref="A1:Q13"/>
  <sheetViews>
    <sheetView workbookViewId="0">
      <selection activeCell="W26" sqref="W26"/>
    </sheetView>
  </sheetViews>
  <sheetFormatPr baseColWidth="10" defaultRowHeight="16" x14ac:dyDescent="0.2"/>
  <cols>
    <col min="1" max="1" width="37.83203125" bestFit="1" customWidth="1"/>
    <col min="2" max="2" width="12.33203125" bestFit="1" customWidth="1"/>
    <col min="3" max="3" width="24.83203125" bestFit="1" customWidth="1"/>
    <col min="4" max="4" width="26.5" bestFit="1" customWidth="1"/>
    <col min="5" max="5" width="24.6640625" bestFit="1" customWidth="1"/>
    <col min="6" max="6" width="25.83203125" bestFit="1" customWidth="1"/>
    <col min="7" max="7" width="24.83203125" bestFit="1" customWidth="1"/>
    <col min="8" max="8" width="31" bestFit="1" customWidth="1"/>
    <col min="9" max="9" width="26.1640625" bestFit="1" customWidth="1"/>
    <col min="10" max="10" width="27.83203125" bestFit="1" customWidth="1"/>
    <col min="11" max="11" width="26" bestFit="1" customWidth="1"/>
    <col min="12" max="12" width="27.1640625" bestFit="1" customWidth="1"/>
    <col min="13" max="13" width="14.6640625" bestFit="1" customWidth="1"/>
    <col min="14" max="14" width="12.33203125" bestFit="1" customWidth="1"/>
    <col min="15" max="16" width="12.83203125" bestFit="1" customWidth="1"/>
    <col min="17" max="17" width="22.33203125" bestFit="1" customWidth="1"/>
  </cols>
  <sheetData>
    <row r="1" spans="1:17" x14ac:dyDescent="0.2">
      <c r="A1" t="s">
        <v>31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28</v>
      </c>
      <c r="P1" t="s">
        <v>29</v>
      </c>
      <c r="Q1" t="s">
        <v>30</v>
      </c>
    </row>
    <row r="2" spans="1:17" x14ac:dyDescent="0.2">
      <c r="A2" s="2" t="s">
        <v>57</v>
      </c>
      <c r="B2" s="2" t="s">
        <v>15</v>
      </c>
      <c r="C2">
        <v>22.29832</v>
      </c>
      <c r="D2">
        <v>4.4682899999999997</v>
      </c>
      <c r="E2">
        <v>4.0629</v>
      </c>
      <c r="F2">
        <v>12.67713</v>
      </c>
      <c r="G2">
        <v>1.2886899999999999</v>
      </c>
      <c r="H2">
        <v>8.5955899999999996</v>
      </c>
      <c r="I2">
        <v>25.222930000000002</v>
      </c>
      <c r="J2">
        <v>5.7464500000000003</v>
      </c>
      <c r="K2">
        <v>8.2994500000000002</v>
      </c>
      <c r="L2">
        <v>10.704700000000001</v>
      </c>
      <c r="M2" s="1">
        <v>45883.208333333336</v>
      </c>
      <c r="N2" s="2" t="s">
        <v>14</v>
      </c>
      <c r="O2">
        <f>combined_sector_data__3[[#This Row],[prospectiveEarningsYield]]/combined_sector_data__3[[#This Row],[forecastedEarningsGrowth]]</f>
        <v>0.8840495533231072</v>
      </c>
      <c r="P2">
        <f>combined_sector_data__3[[#This Row],[prospectiveCashFlowYield]]/combined_sector_data__3[[#This Row],[forecastedCashFlowGrowth]]</f>
        <v>1.1842583164404419</v>
      </c>
      <c r="Q2">
        <f>SUM(combined_sector_data__3[[#This Row],[PEG]],combined_sector_data__3[[#This Row],[PCFG]])/2</f>
        <v>1.0341539348817745</v>
      </c>
    </row>
    <row r="3" spans="1:17" x14ac:dyDescent="0.2">
      <c r="A3" s="2" t="s">
        <v>77</v>
      </c>
      <c r="B3" s="2" t="s">
        <v>25</v>
      </c>
      <c r="C3">
        <v>17.092960000000001</v>
      </c>
      <c r="D3">
        <v>3.8336100000000002</v>
      </c>
      <c r="E3">
        <v>0.93981999999999999</v>
      </c>
      <c r="F3">
        <v>12.652340000000001</v>
      </c>
      <c r="G3">
        <v>1.89394</v>
      </c>
      <c r="H3">
        <v>8.0121400000000005</v>
      </c>
      <c r="I3">
        <v>4.7663000000000002</v>
      </c>
      <c r="J3">
        <v>6.3138199999999998</v>
      </c>
      <c r="K3">
        <v>11.756629999999999</v>
      </c>
      <c r="L3">
        <v>-8.6767699999999994</v>
      </c>
      <c r="M3" s="1">
        <v>45884.208333333336</v>
      </c>
      <c r="N3" s="2" t="s">
        <v>14</v>
      </c>
      <c r="O3">
        <f>combined_sector_data__3[[#This Row],[prospectiveEarningsYield]]/combined_sector_data__3[[#This Row],[forecastedEarningsGrowth]]</f>
        <v>3.5862115267607999</v>
      </c>
      <c r="P3">
        <f>combined_sector_data__3[[#This Row],[prospectiveCashFlowYield]]/combined_sector_data__3[[#This Row],[forecastedCashFlowGrowth]]</f>
        <v>-1.4581854768537141</v>
      </c>
      <c r="Q3">
        <f>SUM(combined_sector_data__3[[#This Row],[PEG]],combined_sector_data__3[[#This Row],[PCFG]])/2</f>
        <v>1.0640130249535429</v>
      </c>
    </row>
    <row r="4" spans="1:17" x14ac:dyDescent="0.2">
      <c r="A4" s="2" t="s">
        <v>71</v>
      </c>
      <c r="B4" s="2" t="s">
        <v>23</v>
      </c>
      <c r="C4">
        <v>24.631589999999999</v>
      </c>
      <c r="D4">
        <v>3.89533</v>
      </c>
      <c r="E4">
        <v>2.4692699999999999</v>
      </c>
      <c r="F4">
        <v>13.58672</v>
      </c>
      <c r="G4">
        <v>1.0359</v>
      </c>
      <c r="H4">
        <v>10.22472</v>
      </c>
      <c r="I4">
        <v>16.246839999999999</v>
      </c>
      <c r="J4">
        <v>5.24831</v>
      </c>
      <c r="K4">
        <v>5.0048700000000004</v>
      </c>
      <c r="L4">
        <v>19.923349999999999</v>
      </c>
      <c r="M4" s="1">
        <v>45884.208333333336</v>
      </c>
      <c r="N4" s="2" t="s">
        <v>20</v>
      </c>
      <c r="O4">
        <f>combined_sector_data__3[[#This Row],[prospectiveEarningsYield]]/combined_sector_data__3[[#This Row],[forecastedEarningsGrowth]]</f>
        <v>1.5160849740626485</v>
      </c>
      <c r="P4">
        <f>combined_sector_data__3[[#This Row],[prospectiveCashFlowYield]]/combined_sector_data__3[[#This Row],[forecastedCashFlowGrowth]]</f>
        <v>0.68194957173366932</v>
      </c>
      <c r="Q4">
        <f>SUM(combined_sector_data__3[[#This Row],[PEG]],combined_sector_data__3[[#This Row],[PCFG]])/2</f>
        <v>1.0990172728981589</v>
      </c>
    </row>
    <row r="5" spans="1:17" x14ac:dyDescent="0.2">
      <c r="A5" s="2" t="s">
        <v>75</v>
      </c>
      <c r="B5" s="2" t="s">
        <v>24</v>
      </c>
      <c r="C5">
        <v>14.58897</v>
      </c>
      <c r="D5">
        <v>1.9227700000000001</v>
      </c>
      <c r="E5">
        <v>2.29135</v>
      </c>
      <c r="F5">
        <v>13.07333</v>
      </c>
      <c r="G5">
        <v>2.99851</v>
      </c>
      <c r="H5">
        <v>10.240320000000001</v>
      </c>
      <c r="I5">
        <v>10.92535</v>
      </c>
      <c r="J5">
        <v>6.4241599999999996</v>
      </c>
      <c r="K5">
        <v>7.7154100000000003</v>
      </c>
      <c r="L5">
        <v>12.624700000000001</v>
      </c>
      <c r="M5" s="1">
        <v>45884.208333333336</v>
      </c>
      <c r="N5" s="2" t="s">
        <v>20</v>
      </c>
      <c r="O5">
        <f>combined_sector_data__3[[#This Row],[prospectiveEarningsYield]]/combined_sector_data__3[[#This Row],[forecastedEarningsGrowth]]</f>
        <v>1.3353320488588467</v>
      </c>
      <c r="P5">
        <f>combined_sector_data__3[[#This Row],[prospectiveCashFlowYield]]/combined_sector_data__3[[#This Row],[forecastedCashFlowGrowth]]</f>
        <v>1.0355358939222319</v>
      </c>
      <c r="Q5">
        <f>SUM(combined_sector_data__3[[#This Row],[PEG]],combined_sector_data__3[[#This Row],[PCFG]])/2</f>
        <v>1.1854339713905393</v>
      </c>
    </row>
    <row r="6" spans="1:17" x14ac:dyDescent="0.2">
      <c r="A6" s="2" t="s">
        <v>63</v>
      </c>
      <c r="B6" s="2" t="s">
        <v>16</v>
      </c>
      <c r="C6">
        <v>26.882159999999999</v>
      </c>
      <c r="D6">
        <v>7.3593799999999998</v>
      </c>
      <c r="E6">
        <v>8.1162799999999997</v>
      </c>
      <c r="F6">
        <v>18.1035</v>
      </c>
      <c r="G6">
        <v>0.86436000000000002</v>
      </c>
      <c r="H6">
        <v>20.25384</v>
      </c>
      <c r="I6">
        <v>16.532150000000001</v>
      </c>
      <c r="J6">
        <v>15.358549999999999</v>
      </c>
      <c r="K6">
        <v>11.409420000000001</v>
      </c>
      <c r="L6">
        <v>15.51742</v>
      </c>
      <c r="M6" s="1">
        <v>45883.208333333336</v>
      </c>
      <c r="N6" s="2" t="s">
        <v>17</v>
      </c>
      <c r="O6">
        <f>combined_sector_data__3[[#This Row],[prospectiveEarningsYield]]/combined_sector_data__3[[#This Row],[forecastedEarningsGrowth]]</f>
        <v>1.6260534776178535</v>
      </c>
      <c r="P6">
        <f>combined_sector_data__3[[#This Row],[prospectiveCashFlowYield]]/combined_sector_data__3[[#This Row],[forecastedCashFlowGrowth]]</f>
        <v>1.1666565704865888</v>
      </c>
      <c r="Q6">
        <f>SUM(combined_sector_data__3[[#This Row],[PEG]],combined_sector_data__3[[#This Row],[PCFG]])/2</f>
        <v>1.3963550240522211</v>
      </c>
    </row>
    <row r="7" spans="1:17" x14ac:dyDescent="0.2">
      <c r="A7" s="2" t="s">
        <v>67</v>
      </c>
      <c r="B7" s="2" t="s">
        <v>21</v>
      </c>
      <c r="C7">
        <v>16.896090000000001</v>
      </c>
      <c r="D7">
        <v>2.02122</v>
      </c>
      <c r="E7">
        <v>1.8782000000000001</v>
      </c>
      <c r="F7">
        <v>7.6422999999999996</v>
      </c>
      <c r="G7">
        <v>3.8131499999999998</v>
      </c>
      <c r="H7">
        <v>7.5505300000000002</v>
      </c>
      <c r="I7">
        <v>9.0882699999999996</v>
      </c>
      <c r="J7">
        <v>4.8281400000000003</v>
      </c>
      <c r="K7">
        <v>-4.7431200000000002</v>
      </c>
      <c r="L7">
        <v>7.3101000000000003</v>
      </c>
      <c r="M7" s="1">
        <v>45883.208333333336</v>
      </c>
      <c r="N7" s="2" t="s">
        <v>14</v>
      </c>
      <c r="O7">
        <f>combined_sector_data__3[[#This Row],[prospectiveEarningsYield]]/combined_sector_data__3[[#This Row],[forecastedEarningsGrowth]]</f>
        <v>1.8591095995167399</v>
      </c>
      <c r="P7">
        <f>combined_sector_data__3[[#This Row],[prospectiveCashFlowYield]]/combined_sector_data__3[[#This Row],[forecastedCashFlowGrowth]]</f>
        <v>1.0454439747746267</v>
      </c>
      <c r="Q7">
        <f>SUM(combined_sector_data__3[[#This Row],[PEG]],combined_sector_data__3[[#This Row],[PCFG]])/2</f>
        <v>1.4522767871456832</v>
      </c>
    </row>
    <row r="8" spans="1:17" x14ac:dyDescent="0.2">
      <c r="A8" s="2" t="s">
        <v>65</v>
      </c>
      <c r="B8" s="2" t="s">
        <v>18</v>
      </c>
      <c r="C8">
        <v>22.261980000000001</v>
      </c>
      <c r="D8">
        <v>3.4282699999999999</v>
      </c>
      <c r="E8">
        <v>2.0285000000000002</v>
      </c>
      <c r="F8">
        <v>13.662430000000001</v>
      </c>
      <c r="G8">
        <v>1.84449</v>
      </c>
      <c r="H8">
        <v>7.9228899999999998</v>
      </c>
      <c r="I8">
        <v>10.51243</v>
      </c>
      <c r="J8">
        <v>7.6353400000000002</v>
      </c>
      <c r="K8">
        <v>6.3470199999999997</v>
      </c>
      <c r="L8">
        <v>15.09686</v>
      </c>
      <c r="M8" s="1">
        <v>45883.208333333336</v>
      </c>
      <c r="N8" s="2" t="s">
        <v>14</v>
      </c>
      <c r="O8">
        <f>combined_sector_data__3[[#This Row],[prospectiveEarningsYield]]/combined_sector_data__3[[#This Row],[forecastedEarningsGrowth]]</f>
        <v>2.1176816397350566</v>
      </c>
      <c r="P8">
        <f>combined_sector_data__3[[#This Row],[prospectiveCashFlowYield]]/combined_sector_data__3[[#This Row],[forecastedCashFlowGrowth]]</f>
        <v>0.90498487765005442</v>
      </c>
      <c r="Q8">
        <f>SUM(combined_sector_data__3[[#This Row],[PEG]],combined_sector_data__3[[#This Row],[PCFG]])/2</f>
        <v>1.5113332586925554</v>
      </c>
    </row>
    <row r="9" spans="1:17" x14ac:dyDescent="0.2">
      <c r="A9" s="2" t="s">
        <v>79</v>
      </c>
      <c r="B9" s="2" t="s">
        <v>27</v>
      </c>
      <c r="C9">
        <v>29.509309999999999</v>
      </c>
      <c r="D9">
        <v>8.0604499999999994</v>
      </c>
      <c r="E9">
        <v>6.0811099999999998</v>
      </c>
      <c r="F9">
        <v>22.079319999999999</v>
      </c>
      <c r="G9">
        <v>0.64944000000000002</v>
      </c>
      <c r="H9">
        <v>12.94101</v>
      </c>
      <c r="I9">
        <v>15.27703</v>
      </c>
      <c r="J9">
        <v>12.86908</v>
      </c>
      <c r="K9">
        <v>7.0107299999999997</v>
      </c>
      <c r="L9">
        <v>16.010280000000002</v>
      </c>
      <c r="M9" s="1">
        <v>45884.208333333336</v>
      </c>
      <c r="N9" s="2" t="s">
        <v>14</v>
      </c>
      <c r="O9">
        <f>combined_sector_data__3[[#This Row],[prospectiveEarningsYield]]/combined_sector_data__3[[#This Row],[forecastedEarningsGrowth]]</f>
        <v>1.9316130164043666</v>
      </c>
      <c r="P9">
        <f>combined_sector_data__3[[#This Row],[prospectiveCashFlowYield]]/combined_sector_data__3[[#This Row],[forecastedCashFlowGrowth]]</f>
        <v>1.3790714465955622</v>
      </c>
      <c r="Q9">
        <f>SUM(combined_sector_data__3[[#This Row],[PEG]],combined_sector_data__3[[#This Row],[PCFG]])/2</f>
        <v>1.6553422314999644</v>
      </c>
    </row>
    <row r="10" spans="1:17" x14ac:dyDescent="0.2">
      <c r="A10" s="2" t="s">
        <v>80</v>
      </c>
      <c r="B10" s="2" t="s">
        <v>13</v>
      </c>
      <c r="C10">
        <v>24.060680000000001</v>
      </c>
      <c r="D10">
        <v>3.4268399999999999</v>
      </c>
      <c r="E10">
        <v>1.8821699999999999</v>
      </c>
      <c r="F10">
        <v>12.97418</v>
      </c>
      <c r="G10">
        <v>1.33117</v>
      </c>
      <c r="H10">
        <v>9.1114499999999996</v>
      </c>
      <c r="I10">
        <v>7.12521</v>
      </c>
      <c r="J10">
        <v>11.19768</v>
      </c>
      <c r="K10">
        <v>8.5179399999999994</v>
      </c>
      <c r="L10">
        <v>22.975159999999999</v>
      </c>
      <c r="M10" s="1">
        <v>45884.208333333336</v>
      </c>
      <c r="N10" s="2" t="s">
        <v>14</v>
      </c>
      <c r="O10">
        <f>combined_sector_data__3[[#This Row],[prospectiveEarningsYield]]/combined_sector_data__3[[#This Row],[forecastedEarningsGrowth]]</f>
        <v>3.3768380160023357</v>
      </c>
      <c r="P10">
        <f>combined_sector_data__3[[#This Row],[prospectiveCashFlowYield]]/combined_sector_data__3[[#This Row],[forecastedCashFlowGrowth]]</f>
        <v>0.56470466364543281</v>
      </c>
      <c r="Q10">
        <f>SUM(combined_sector_data__3[[#This Row],[PEG]],combined_sector_data__3[[#This Row],[PCFG]])/2</f>
        <v>1.9707713398238842</v>
      </c>
    </row>
    <row r="11" spans="1:17" x14ac:dyDescent="0.2">
      <c r="A11" s="2" t="s">
        <v>68</v>
      </c>
      <c r="B11" s="2" t="s">
        <v>22</v>
      </c>
      <c r="C11">
        <v>24.541920000000001</v>
      </c>
      <c r="D11">
        <v>1.4150400000000001</v>
      </c>
      <c r="E11">
        <v>5.6939500000000001</v>
      </c>
      <c r="F11">
        <v>14.315099999999999</v>
      </c>
      <c r="G11">
        <v>4.3528500000000001</v>
      </c>
      <c r="H11">
        <v>5.7180299999999997</v>
      </c>
      <c r="I11">
        <v>-3.2839200000000002</v>
      </c>
      <c r="J11">
        <v>-8.0210000000000004E-2</v>
      </c>
      <c r="K11">
        <v>3.8318300000000001</v>
      </c>
      <c r="L11">
        <v>1.1528099999999999</v>
      </c>
      <c r="M11" s="1">
        <v>45883.208333333336</v>
      </c>
      <c r="N11" s="2" t="s">
        <v>14</v>
      </c>
      <c r="O11">
        <f>combined_sector_data__3[[#This Row],[prospectiveEarningsYield]]/combined_sector_data__3[[#This Row],[forecastedEarningsGrowth]]</f>
        <v>-7.4733611050208291</v>
      </c>
      <c r="P11">
        <f>combined_sector_data__3[[#This Row],[prospectiveCashFlowYield]]/combined_sector_data__3[[#This Row],[forecastedCashFlowGrowth]]</f>
        <v>12.417570978738908</v>
      </c>
      <c r="Q11">
        <f>SUM(combined_sector_data__3[[#This Row],[PEG]],combined_sector_data__3[[#This Row],[PCFG]])/2</f>
        <v>2.4721049368590395</v>
      </c>
    </row>
    <row r="12" spans="1:17" x14ac:dyDescent="0.2">
      <c r="A12" s="2" t="s">
        <v>78</v>
      </c>
      <c r="B12" s="2" t="s">
        <v>26</v>
      </c>
      <c r="C12">
        <v>20.158860000000001</v>
      </c>
      <c r="D12">
        <v>3.5992199999999999</v>
      </c>
      <c r="E12">
        <v>1.0651600000000001</v>
      </c>
      <c r="F12">
        <v>12.44811</v>
      </c>
      <c r="G12">
        <v>2.74797</v>
      </c>
      <c r="H12">
        <v>5.4558900000000001</v>
      </c>
      <c r="I12">
        <v>1.2883199999999999</v>
      </c>
      <c r="J12">
        <v>3.52969</v>
      </c>
      <c r="K12">
        <v>4.8633600000000001</v>
      </c>
      <c r="L12">
        <v>6.0335700000000001</v>
      </c>
      <c r="M12" s="1">
        <v>45884.208333333336</v>
      </c>
      <c r="N12" s="2" t="s">
        <v>14</v>
      </c>
      <c r="O12">
        <f>combined_sector_data__3[[#This Row],[prospectiveEarningsYield]]/combined_sector_data__3[[#This Row],[forecastedEarningsGrowth]]</f>
        <v>15.647401266766023</v>
      </c>
      <c r="P12">
        <f>combined_sector_data__3[[#This Row],[prospectiveCashFlowYield]]/combined_sector_data__3[[#This Row],[forecastedCashFlowGrowth]]</f>
        <v>2.0631417220650459</v>
      </c>
      <c r="Q12">
        <f>SUM(combined_sector_data__3[[#This Row],[PEG]],combined_sector_data__3[[#This Row],[PCFG]])/2</f>
        <v>8.8552714944155344</v>
      </c>
    </row>
    <row r="13" spans="1:17" x14ac:dyDescent="0.2">
      <c r="A13" s="2" t="s">
        <v>66</v>
      </c>
      <c r="B13" s="2" t="s">
        <v>19</v>
      </c>
      <c r="C13">
        <v>18.51294</v>
      </c>
      <c r="D13">
        <v>2.1925599999999998</v>
      </c>
      <c r="E13">
        <v>1.95038</v>
      </c>
      <c r="F13">
        <v>10.06963</v>
      </c>
      <c r="G13">
        <v>2.47559</v>
      </c>
      <c r="H13">
        <v>11.19143</v>
      </c>
      <c r="I13">
        <v>-5.2451499999999998</v>
      </c>
      <c r="J13">
        <v>7.2924199999999999</v>
      </c>
      <c r="K13">
        <v>3.5974300000000001</v>
      </c>
      <c r="L13">
        <v>0.11451</v>
      </c>
      <c r="M13" s="1">
        <v>45883.208333333336</v>
      </c>
      <c r="N13" s="2" t="s">
        <v>20</v>
      </c>
      <c r="O13">
        <f>combined_sector_data__3[[#This Row],[prospectiveEarningsYield]]/combined_sector_data__3[[#This Row],[forecastedEarningsGrowth]]</f>
        <v>-3.5295349036729173</v>
      </c>
      <c r="P13">
        <f>combined_sector_data__3[[#This Row],[prospectiveCashFlowYield]]/combined_sector_data__3[[#This Row],[forecastedCashFlowGrowth]]</f>
        <v>87.936686752248718</v>
      </c>
      <c r="Q13">
        <f>SUM(combined_sector_data__3[[#This Row],[PEG]],combined_sector_data__3[[#This Row],[PCFG]])/2</f>
        <v>42.203575924287904</v>
      </c>
    </row>
  </sheetData>
  <conditionalFormatting sqref="O1:O13">
    <cfRule type="colorScale" priority="2">
      <colorScale>
        <cfvo type="num" val="0"/>
        <cfvo type="num" val="1.5"/>
        <cfvo type="num" val="3"/>
        <color theme="9" tint="-0.249977111117893"/>
        <color rgb="FFFFEB84"/>
        <color theme="5" tint="-0.249977111117893"/>
      </colorScale>
    </cfRule>
    <cfRule type="colorScale" priority="5">
      <colorScale>
        <cfvo type="num" val="0"/>
        <cfvo type="percentile" val="50"/>
        <cfvo type="max"/>
        <color theme="9" tint="-0.249977111117893"/>
        <color rgb="FFFFFF00"/>
        <color theme="5" tint="-0.249977111117893"/>
      </colorScale>
    </cfRule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1:P13">
    <cfRule type="colorScale" priority="3">
      <colorScale>
        <cfvo type="num" val="0"/>
        <cfvo type="num" val="1.5"/>
        <cfvo type="num" val="3"/>
        <color theme="9" tint="-0.249977111117893"/>
        <color rgb="FFFFEB84"/>
        <color theme="5" tint="-0.249977111117893"/>
      </colorScale>
    </cfRule>
    <cfRule type="colorScale" priority="4">
      <colorScale>
        <cfvo type="num" val="0"/>
        <cfvo type="percentile" val="50"/>
        <cfvo type="max"/>
        <color theme="9" tint="-0.249977111117893"/>
        <color rgb="FFFFEB84"/>
        <color rgb="FFC00000"/>
      </colorScale>
    </cfRule>
  </conditionalFormatting>
  <conditionalFormatting sqref="Q1:Q13">
    <cfRule type="colorScale" priority="1">
      <colorScale>
        <cfvo type="num" val="0"/>
        <cfvo type="num" val="1.5"/>
        <cfvo type="num" val="3"/>
        <color theme="9" tint="-0.249977111117893"/>
        <color rgb="FFFFEB84"/>
        <color theme="5" tint="-0.249977111117893"/>
      </colorScale>
    </cfRule>
  </conditionalFormatting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9D6D7-F0FB-694B-B151-15812050D9AF}">
  <dimension ref="A1:AB13"/>
  <sheetViews>
    <sheetView tabSelected="1" workbookViewId="0">
      <selection activeCell="Z31" sqref="Z31"/>
    </sheetView>
  </sheetViews>
  <sheetFormatPr baseColWidth="10" defaultRowHeight="16" x14ac:dyDescent="0.2"/>
  <cols>
    <col min="1" max="1" width="37.83203125" bestFit="1" customWidth="1"/>
    <col min="2" max="2" width="12.33203125" bestFit="1" customWidth="1"/>
    <col min="3" max="3" width="18" bestFit="1" customWidth="1"/>
    <col min="4" max="4" width="11.1640625" bestFit="1" customWidth="1"/>
    <col min="5" max="5" width="9.1640625" bestFit="1" customWidth="1"/>
    <col min="6" max="6" width="9.6640625" bestFit="1" customWidth="1"/>
    <col min="7" max="7" width="13" bestFit="1" customWidth="1"/>
    <col min="8" max="8" width="12" bestFit="1" customWidth="1"/>
    <col min="9" max="9" width="7.1640625" bestFit="1" customWidth="1"/>
    <col min="10" max="10" width="6.6640625" bestFit="1" customWidth="1"/>
    <col min="11" max="11" width="16.1640625" bestFit="1" customWidth="1"/>
    <col min="12" max="12" width="15.6640625" bestFit="1" customWidth="1"/>
    <col min="13" max="13" width="13.33203125" bestFit="1" customWidth="1"/>
    <col min="14" max="14" width="11.1640625" bestFit="1" customWidth="1"/>
    <col min="15" max="15" width="12.83203125" bestFit="1" customWidth="1"/>
    <col min="16" max="16" width="15.5" bestFit="1" customWidth="1"/>
    <col min="17" max="17" width="15" bestFit="1" customWidth="1"/>
    <col min="18" max="18" width="15.1640625" bestFit="1" customWidth="1"/>
    <col min="19" max="19" width="14.83203125" bestFit="1" customWidth="1"/>
    <col min="20" max="20" width="24" bestFit="1" customWidth="1"/>
    <col min="21" max="21" width="13.83203125" bestFit="1" customWidth="1"/>
    <col min="22" max="22" width="26" bestFit="1" customWidth="1"/>
    <col min="23" max="23" width="19.6640625" bestFit="1" customWidth="1"/>
    <col min="24" max="24" width="11.6640625" bestFit="1" customWidth="1"/>
    <col min="25" max="25" width="12.1640625" bestFit="1" customWidth="1"/>
    <col min="26" max="26" width="16.83203125" bestFit="1" customWidth="1"/>
    <col min="27" max="27" width="14.83203125" bestFit="1" customWidth="1"/>
    <col min="28" max="28" width="24.33203125" style="3" bestFit="1" customWidth="1"/>
  </cols>
  <sheetData>
    <row r="1" spans="1:28" x14ac:dyDescent="0.2">
      <c r="A1" t="s">
        <v>31</v>
      </c>
      <c r="B1" t="s">
        <v>0</v>
      </c>
      <c r="C1" t="s">
        <v>32</v>
      </c>
      <c r="D1" t="s">
        <v>33</v>
      </c>
      <c r="E1" t="s">
        <v>34</v>
      </c>
      <c r="F1" t="s">
        <v>35</v>
      </c>
      <c r="G1" t="s">
        <v>36</v>
      </c>
      <c r="H1" t="s">
        <v>37</v>
      </c>
      <c r="I1" t="s">
        <v>38</v>
      </c>
      <c r="J1" t="s">
        <v>39</v>
      </c>
      <c r="K1" t="s">
        <v>40</v>
      </c>
      <c r="L1" t="s">
        <v>41</v>
      </c>
      <c r="M1" t="s">
        <v>42</v>
      </c>
      <c r="N1" t="s">
        <v>43</v>
      </c>
      <c r="O1" t="s">
        <v>44</v>
      </c>
      <c r="P1" t="s">
        <v>45</v>
      </c>
      <c r="Q1" t="s">
        <v>46</v>
      </c>
      <c r="R1" t="s">
        <v>47</v>
      </c>
      <c r="S1" t="s">
        <v>48</v>
      </c>
      <c r="T1" t="s">
        <v>49</v>
      </c>
      <c r="U1" t="s">
        <v>50</v>
      </c>
      <c r="V1" t="s">
        <v>51</v>
      </c>
      <c r="W1" t="s">
        <v>52</v>
      </c>
      <c r="X1" t="s">
        <v>53</v>
      </c>
      <c r="Y1" t="s">
        <v>54</v>
      </c>
      <c r="Z1" t="s">
        <v>55</v>
      </c>
      <c r="AA1" t="s">
        <v>56</v>
      </c>
      <c r="AB1" s="3" t="s">
        <v>81</v>
      </c>
    </row>
    <row r="2" spans="1:28" x14ac:dyDescent="0.2">
      <c r="A2" s="2" t="s">
        <v>65</v>
      </c>
      <c r="B2" s="2" t="s">
        <v>18</v>
      </c>
      <c r="C2" s="1">
        <v>45888.684338692132</v>
      </c>
      <c r="E2">
        <v>14.508900000000001</v>
      </c>
      <c r="G2" s="1"/>
      <c r="M2" s="2" t="s">
        <v>58</v>
      </c>
      <c r="N2" s="2" t="s">
        <v>58</v>
      </c>
      <c r="O2">
        <v>2042.8484848485</v>
      </c>
      <c r="R2" s="2" t="s">
        <v>58</v>
      </c>
      <c r="S2" s="1">
        <v>45887</v>
      </c>
      <c r="T2" s="1"/>
      <c r="U2" s="2" t="s">
        <v>58</v>
      </c>
      <c r="V2" s="2" t="s">
        <v>59</v>
      </c>
      <c r="W2" s="2" t="s">
        <v>60</v>
      </c>
      <c r="Z2" s="2" t="s">
        <v>58</v>
      </c>
      <c r="AA2" s="2" t="s">
        <v>58</v>
      </c>
      <c r="AB2" s="3" t="e">
        <f>1-combined_price_data[[#This Row],[lastPrice]]/combined_price_data[[#This Row],[yearRangeHigh]]</f>
        <v>#DIV/0!</v>
      </c>
    </row>
    <row r="3" spans="1:28" x14ac:dyDescent="0.2">
      <c r="A3" s="2" t="s">
        <v>66</v>
      </c>
      <c r="B3" s="2" t="s">
        <v>19</v>
      </c>
      <c r="C3" s="1">
        <v>45888.684342789355</v>
      </c>
      <c r="E3">
        <v>13.217040000000001</v>
      </c>
      <c r="G3" s="1"/>
      <c r="M3" s="2" t="s">
        <v>58</v>
      </c>
      <c r="N3" s="2" t="s">
        <v>58</v>
      </c>
      <c r="O3">
        <v>313.39393939389998</v>
      </c>
      <c r="R3" s="2" t="s">
        <v>58</v>
      </c>
      <c r="S3" s="1">
        <v>45887</v>
      </c>
      <c r="T3" s="1"/>
      <c r="U3" s="2" t="s">
        <v>58</v>
      </c>
      <c r="V3" s="2" t="s">
        <v>59</v>
      </c>
      <c r="W3" s="2" t="s">
        <v>60</v>
      </c>
      <c r="Z3" s="2" t="s">
        <v>58</v>
      </c>
      <c r="AA3" s="2" t="s">
        <v>58</v>
      </c>
      <c r="AB3" s="3" t="e">
        <f>1-combined_price_data[[#This Row],[lastPrice]]/combined_price_data[[#This Row],[yearRangeHigh]]</f>
        <v>#DIV/0!</v>
      </c>
    </row>
    <row r="4" spans="1:28" x14ac:dyDescent="0.2">
      <c r="A4" s="2" t="s">
        <v>78</v>
      </c>
      <c r="B4" s="2" t="s">
        <v>26</v>
      </c>
      <c r="C4" s="1">
        <v>45888.684372951386</v>
      </c>
      <c r="E4">
        <v>5.1376299999999997</v>
      </c>
      <c r="G4" s="1"/>
      <c r="M4" s="2" t="s">
        <v>58</v>
      </c>
      <c r="N4" s="2" t="s">
        <v>58</v>
      </c>
      <c r="O4">
        <v>19420.742424242399</v>
      </c>
      <c r="R4" s="2" t="s">
        <v>14</v>
      </c>
      <c r="S4" s="1">
        <v>45887</v>
      </c>
      <c r="T4" s="1"/>
      <c r="U4" s="2" t="s">
        <v>58</v>
      </c>
      <c r="V4" s="2" t="s">
        <v>59</v>
      </c>
      <c r="W4" s="2" t="s">
        <v>60</v>
      </c>
      <c r="Z4" s="2" t="s">
        <v>61</v>
      </c>
      <c r="AA4" s="2" t="s">
        <v>58</v>
      </c>
      <c r="AB4" s="3" t="e">
        <f>1-combined_price_data[[#This Row],[lastPrice]]/combined_price_data[[#This Row],[yearRangeHigh]]</f>
        <v>#DIV/0!</v>
      </c>
    </row>
    <row r="5" spans="1:28" x14ac:dyDescent="0.2">
      <c r="A5" s="2" t="s">
        <v>79</v>
      </c>
      <c r="B5" s="2" t="s">
        <v>27</v>
      </c>
      <c r="C5" s="1">
        <v>45888.684378206017</v>
      </c>
      <c r="E5">
        <v>13.42412</v>
      </c>
      <c r="G5" s="1"/>
      <c r="M5" s="2" t="s">
        <v>58</v>
      </c>
      <c r="N5" s="2" t="s">
        <v>58</v>
      </c>
      <c r="O5">
        <v>73666.121212121201</v>
      </c>
      <c r="R5" s="2" t="s">
        <v>14</v>
      </c>
      <c r="S5" s="1">
        <v>45887</v>
      </c>
      <c r="T5" s="1"/>
      <c r="U5" s="2" t="s">
        <v>58</v>
      </c>
      <c r="V5" s="2" t="s">
        <v>59</v>
      </c>
      <c r="W5" s="2" t="s">
        <v>60</v>
      </c>
      <c r="Z5" s="2" t="s">
        <v>61</v>
      </c>
      <c r="AA5" s="2" t="s">
        <v>58</v>
      </c>
      <c r="AB5" s="3" t="e">
        <f>1-combined_price_data[[#This Row],[lastPrice]]/combined_price_data[[#This Row],[yearRangeHigh]]</f>
        <v>#DIV/0!</v>
      </c>
    </row>
    <row r="6" spans="1:28" x14ac:dyDescent="0.2">
      <c r="A6" s="2" t="s">
        <v>77</v>
      </c>
      <c r="B6" s="2" t="s">
        <v>25</v>
      </c>
      <c r="C6" s="1">
        <v>45888.684368738424</v>
      </c>
      <c r="D6">
        <v>5.9930000000000003</v>
      </c>
      <c r="E6">
        <v>5.9710900000000002</v>
      </c>
      <c r="F6">
        <v>0</v>
      </c>
      <c r="G6" s="1">
        <v>45888.753912037035</v>
      </c>
      <c r="H6">
        <v>5.9630000000000001</v>
      </c>
      <c r="I6">
        <v>5.9909999999999997</v>
      </c>
      <c r="J6">
        <v>6.0209999999999999</v>
      </c>
      <c r="K6">
        <v>7.3440000000000003</v>
      </c>
      <c r="L6">
        <v>3.9504999999999999</v>
      </c>
      <c r="M6" s="2" t="s">
        <v>58</v>
      </c>
      <c r="N6" s="2" t="s">
        <v>58</v>
      </c>
      <c r="O6">
        <v>54460.484848484797</v>
      </c>
      <c r="P6">
        <v>6.016</v>
      </c>
      <c r="Q6">
        <v>5.9630000000000001</v>
      </c>
      <c r="R6" s="2" t="s">
        <v>14</v>
      </c>
      <c r="S6" s="1">
        <v>45887</v>
      </c>
      <c r="T6" s="1">
        <v>45888.753912037035</v>
      </c>
      <c r="U6" s="2" t="s">
        <v>58</v>
      </c>
      <c r="V6" s="2" t="s">
        <v>59</v>
      </c>
      <c r="W6" s="2" t="s">
        <v>60</v>
      </c>
      <c r="X6">
        <v>5.9809999999999999</v>
      </c>
      <c r="Y6">
        <v>4.9950049950050366E-3</v>
      </c>
      <c r="Z6" s="2" t="s">
        <v>61</v>
      </c>
      <c r="AA6" s="2" t="s">
        <v>62</v>
      </c>
      <c r="AB6" s="3">
        <f>1-combined_price_data[[#This Row],[lastPrice]]/combined_price_data[[#This Row],[yearRangeHigh]]</f>
        <v>0.18395969498910669</v>
      </c>
    </row>
    <row r="7" spans="1:28" x14ac:dyDescent="0.2">
      <c r="A7" s="2" t="s">
        <v>80</v>
      </c>
      <c r="B7" s="2" t="s">
        <v>13</v>
      </c>
      <c r="C7" s="1">
        <v>45888.684382453706</v>
      </c>
      <c r="D7">
        <v>7.5570000000000004</v>
      </c>
      <c r="E7">
        <v>7.5450999999999997</v>
      </c>
      <c r="F7">
        <v>0</v>
      </c>
      <c r="G7" s="1">
        <v>45888.726481481484</v>
      </c>
      <c r="H7">
        <v>7.5220000000000002</v>
      </c>
      <c r="I7">
        <v>7.5460000000000003</v>
      </c>
      <c r="J7">
        <v>7.5979999999999999</v>
      </c>
      <c r="K7">
        <v>8.8379999999999992</v>
      </c>
      <c r="L7">
        <v>3.2530000000000001</v>
      </c>
      <c r="M7" s="2" t="s">
        <v>58</v>
      </c>
      <c r="N7" s="2" t="s">
        <v>58</v>
      </c>
      <c r="O7">
        <v>5232.1515151514996</v>
      </c>
      <c r="P7">
        <v>7.5839999999999996</v>
      </c>
      <c r="Q7">
        <v>7.5220000000000002</v>
      </c>
      <c r="R7" s="2" t="s">
        <v>14</v>
      </c>
      <c r="S7" s="1">
        <v>45887</v>
      </c>
      <c r="T7" s="1">
        <v>45888.726481481484</v>
      </c>
      <c r="U7" s="2" t="s">
        <v>58</v>
      </c>
      <c r="V7" s="2" t="s">
        <v>59</v>
      </c>
      <c r="W7" s="2" t="s">
        <v>60</v>
      </c>
      <c r="X7">
        <v>7.569</v>
      </c>
      <c r="Y7">
        <v>6.8674062334917593E-3</v>
      </c>
      <c r="Z7" s="2" t="s">
        <v>61</v>
      </c>
      <c r="AA7" s="2" t="s">
        <v>62</v>
      </c>
      <c r="AB7" s="3">
        <f>1-combined_price_data[[#This Row],[lastPrice]]/combined_price_data[[#This Row],[yearRangeHigh]]</f>
        <v>0.14494229463679553</v>
      </c>
    </row>
    <row r="8" spans="1:28" x14ac:dyDescent="0.2">
      <c r="A8" s="2" t="s">
        <v>68</v>
      </c>
      <c r="B8" s="2" t="s">
        <v>22</v>
      </c>
      <c r="C8" s="1">
        <v>45888.684354502315</v>
      </c>
      <c r="D8">
        <v>18.917999999999999</v>
      </c>
      <c r="E8">
        <v>18.671990000000001</v>
      </c>
      <c r="F8">
        <v>525</v>
      </c>
      <c r="G8" s="1">
        <v>45888.701111111113</v>
      </c>
      <c r="H8">
        <v>18.739999999999998</v>
      </c>
      <c r="I8">
        <v>0</v>
      </c>
      <c r="J8">
        <v>0</v>
      </c>
      <c r="K8">
        <v>21.625</v>
      </c>
      <c r="L8">
        <v>16.899999999999999</v>
      </c>
      <c r="M8" s="2" t="s">
        <v>58</v>
      </c>
      <c r="N8" s="2" t="s">
        <v>58</v>
      </c>
      <c r="O8">
        <v>1167.5999999999999</v>
      </c>
      <c r="P8">
        <v>18.954000000000001</v>
      </c>
      <c r="Q8">
        <v>18.739999999999998</v>
      </c>
      <c r="R8" s="2" t="s">
        <v>14</v>
      </c>
      <c r="S8" s="1">
        <v>45887</v>
      </c>
      <c r="T8" s="1">
        <v>45888.701111111113</v>
      </c>
      <c r="U8" s="2" t="s">
        <v>58</v>
      </c>
      <c r="V8" s="2" t="s">
        <v>69</v>
      </c>
      <c r="W8" s="2" t="s">
        <v>60</v>
      </c>
      <c r="X8">
        <v>18.763999999999999</v>
      </c>
      <c r="Y8">
        <v>0</v>
      </c>
      <c r="Z8" s="2" t="s">
        <v>61</v>
      </c>
      <c r="AA8" s="2" t="s">
        <v>70</v>
      </c>
      <c r="AB8" s="3">
        <f>1-combined_price_data[[#This Row],[lastPrice]]/combined_price_data[[#This Row],[yearRangeHigh]]</f>
        <v>0.12517919075144512</v>
      </c>
    </row>
    <row r="9" spans="1:28" x14ac:dyDescent="0.2">
      <c r="A9" s="2" t="s">
        <v>71</v>
      </c>
      <c r="B9" s="2" t="s">
        <v>23</v>
      </c>
      <c r="C9" s="1">
        <v>45888.684360115738</v>
      </c>
      <c r="D9">
        <v>10.632</v>
      </c>
      <c r="F9">
        <v>890</v>
      </c>
      <c r="G9" s="1">
        <v>45888.675740740742</v>
      </c>
      <c r="H9">
        <v>10.683999999999999</v>
      </c>
      <c r="I9">
        <v>0</v>
      </c>
      <c r="J9">
        <v>12</v>
      </c>
      <c r="K9">
        <v>11.013999999999999</v>
      </c>
      <c r="L9">
        <v>8.1479999999999997</v>
      </c>
      <c r="M9" s="2" t="s">
        <v>58</v>
      </c>
      <c r="N9" s="2" t="s">
        <v>58</v>
      </c>
      <c r="O9">
        <v>12118.8923076923</v>
      </c>
      <c r="P9">
        <v>10.683999999999999</v>
      </c>
      <c r="Q9">
        <v>10.632</v>
      </c>
      <c r="R9" s="2" t="s">
        <v>20</v>
      </c>
      <c r="S9" s="1"/>
      <c r="T9" s="1">
        <v>45888.675740740742</v>
      </c>
      <c r="U9" s="2" t="s">
        <v>58</v>
      </c>
      <c r="V9" s="2" t="s">
        <v>72</v>
      </c>
      <c r="W9" s="2" t="s">
        <v>73</v>
      </c>
      <c r="X9">
        <v>10.648</v>
      </c>
      <c r="Y9">
        <v>0</v>
      </c>
      <c r="Z9" s="2" t="s">
        <v>74</v>
      </c>
      <c r="AA9" s="2" t="s">
        <v>64</v>
      </c>
      <c r="AB9" s="3">
        <f>1-combined_price_data[[#This Row],[lastPrice]]/combined_price_data[[#This Row],[yearRangeHigh]]</f>
        <v>3.4683130561104059E-2</v>
      </c>
    </row>
    <row r="10" spans="1:28" x14ac:dyDescent="0.2">
      <c r="A10" s="2" t="s">
        <v>57</v>
      </c>
      <c r="B10" s="2" t="s">
        <v>15</v>
      </c>
      <c r="C10" s="1">
        <v>45888.684329074073</v>
      </c>
      <c r="D10">
        <v>18.414000000000001</v>
      </c>
      <c r="E10">
        <v>18.690200000000001</v>
      </c>
      <c r="F10">
        <v>0</v>
      </c>
      <c r="G10" s="1">
        <v>45888.724305555559</v>
      </c>
      <c r="H10">
        <v>18.584</v>
      </c>
      <c r="I10">
        <v>18.364000000000001</v>
      </c>
      <c r="J10">
        <v>18.489999999999998</v>
      </c>
      <c r="K10">
        <v>18.774000000000001</v>
      </c>
      <c r="L10">
        <v>14.68</v>
      </c>
      <c r="M10" s="2" t="s">
        <v>58</v>
      </c>
      <c r="N10" s="2" t="s">
        <v>58</v>
      </c>
      <c r="O10">
        <v>1768.5757575758</v>
      </c>
      <c r="P10">
        <v>18.616</v>
      </c>
      <c r="Q10">
        <v>18.414000000000001</v>
      </c>
      <c r="R10" s="2" t="s">
        <v>14</v>
      </c>
      <c r="S10" s="1">
        <v>45887</v>
      </c>
      <c r="T10" s="1">
        <v>45888.724305555559</v>
      </c>
      <c r="U10" s="2" t="s">
        <v>58</v>
      </c>
      <c r="V10" s="2" t="s">
        <v>59</v>
      </c>
      <c r="W10" s="2" t="s">
        <v>60</v>
      </c>
      <c r="X10">
        <v>18.602</v>
      </c>
      <c r="Y10">
        <v>6.8377923698918798E-3</v>
      </c>
      <c r="Z10" s="2" t="s">
        <v>61</v>
      </c>
      <c r="AA10" s="2" t="s">
        <v>62</v>
      </c>
      <c r="AB10" s="3">
        <f>1-combined_price_data[[#This Row],[lastPrice]]/combined_price_data[[#This Row],[yearRangeHigh]]</f>
        <v>1.9175455417066112E-2</v>
      </c>
    </row>
    <row r="11" spans="1:28" x14ac:dyDescent="0.2">
      <c r="A11" s="2" t="s">
        <v>67</v>
      </c>
      <c r="B11" s="2" t="s">
        <v>21</v>
      </c>
      <c r="C11" s="1">
        <v>45888.684348599534</v>
      </c>
      <c r="D11">
        <v>10.896000000000001</v>
      </c>
      <c r="E11">
        <v>10.9048</v>
      </c>
      <c r="F11">
        <v>0</v>
      </c>
      <c r="G11" s="1">
        <v>45888.754826388889</v>
      </c>
      <c r="H11">
        <v>10.891999999999999</v>
      </c>
      <c r="I11">
        <v>10.894</v>
      </c>
      <c r="J11">
        <v>10.97</v>
      </c>
      <c r="K11">
        <v>11.103999999999999</v>
      </c>
      <c r="L11">
        <v>9.8480000000000008</v>
      </c>
      <c r="M11" s="2" t="s">
        <v>58</v>
      </c>
      <c r="N11" s="2" t="s">
        <v>58</v>
      </c>
      <c r="O11">
        <v>4380.4696969696997</v>
      </c>
      <c r="P11">
        <v>10.93</v>
      </c>
      <c r="Q11">
        <v>10.891999999999999</v>
      </c>
      <c r="R11" s="2" t="s">
        <v>14</v>
      </c>
      <c r="S11" s="1">
        <v>45887</v>
      </c>
      <c r="T11" s="1">
        <v>45888.754826388889</v>
      </c>
      <c r="U11" s="2" t="s">
        <v>58</v>
      </c>
      <c r="V11" s="2" t="s">
        <v>59</v>
      </c>
      <c r="W11" s="2" t="s">
        <v>60</v>
      </c>
      <c r="X11">
        <v>10.898</v>
      </c>
      <c r="Y11">
        <v>6.9520673252836179E-3</v>
      </c>
      <c r="Z11" s="2" t="s">
        <v>61</v>
      </c>
      <c r="AA11" s="2" t="s">
        <v>62</v>
      </c>
      <c r="AB11" s="3">
        <f>1-combined_price_data[[#This Row],[lastPrice]]/combined_price_data[[#This Row],[yearRangeHigh]]</f>
        <v>1.8731988472622363E-2</v>
      </c>
    </row>
    <row r="12" spans="1:28" x14ac:dyDescent="0.2">
      <c r="A12" s="2" t="s">
        <v>63</v>
      </c>
      <c r="B12" s="2" t="s">
        <v>16</v>
      </c>
      <c r="C12" s="1">
        <v>45888.684334259262</v>
      </c>
      <c r="D12">
        <v>92.12</v>
      </c>
      <c r="E12">
        <v>92.295050000000003</v>
      </c>
      <c r="F12">
        <v>693</v>
      </c>
      <c r="G12" s="1">
        <v>45888.392372685186</v>
      </c>
      <c r="H12">
        <v>92.12</v>
      </c>
      <c r="I12">
        <v>90.91</v>
      </c>
      <c r="J12">
        <v>91.2</v>
      </c>
      <c r="K12">
        <v>93.66</v>
      </c>
      <c r="L12">
        <v>52.86</v>
      </c>
      <c r="M12" s="2" t="s">
        <v>58</v>
      </c>
      <c r="N12" s="2" t="s">
        <v>58</v>
      </c>
      <c r="O12">
        <v>376.58490566040001</v>
      </c>
      <c r="P12">
        <v>92.12</v>
      </c>
      <c r="Q12">
        <v>92.12</v>
      </c>
      <c r="R12" s="2" t="s">
        <v>17</v>
      </c>
      <c r="S12" s="1">
        <v>45887</v>
      </c>
      <c r="T12" s="1">
        <v>45888.392372685186</v>
      </c>
      <c r="U12" s="2" t="s">
        <v>58</v>
      </c>
      <c r="V12" s="2" t="s">
        <v>58</v>
      </c>
      <c r="W12" s="2" t="s">
        <v>60</v>
      </c>
      <c r="X12">
        <v>92.31</v>
      </c>
      <c r="Y12">
        <v>3.1848882543518337E-3</v>
      </c>
      <c r="Z12" s="2" t="s">
        <v>17</v>
      </c>
      <c r="AA12" s="2" t="s">
        <v>64</v>
      </c>
      <c r="AB12" s="3">
        <f>1-combined_price_data[[#This Row],[lastPrice]]/combined_price_data[[#This Row],[yearRangeHigh]]</f>
        <v>1.6442451420029758E-2</v>
      </c>
    </row>
    <row r="13" spans="1:28" x14ac:dyDescent="0.2">
      <c r="A13" s="2" t="s">
        <v>75</v>
      </c>
      <c r="B13" s="2" t="s">
        <v>24</v>
      </c>
      <c r="C13" s="1">
        <v>45888.684364537039</v>
      </c>
      <c r="D13">
        <v>7.3682999999999996</v>
      </c>
      <c r="E13">
        <v>7.3464999999999998</v>
      </c>
      <c r="F13">
        <v>349</v>
      </c>
      <c r="G13" s="1">
        <v>45888.658148148148</v>
      </c>
      <c r="H13">
        <v>7.3555000000000001</v>
      </c>
      <c r="I13">
        <v>6.97</v>
      </c>
      <c r="J13">
        <v>0</v>
      </c>
      <c r="K13">
        <v>7.4280999999999997</v>
      </c>
      <c r="L13">
        <v>5.5324999999999998</v>
      </c>
      <c r="M13" s="2" t="s">
        <v>58</v>
      </c>
      <c r="N13" s="2" t="s">
        <v>58</v>
      </c>
      <c r="O13">
        <v>31719.910447761202</v>
      </c>
      <c r="P13">
        <v>7.3705999999999996</v>
      </c>
      <c r="Q13">
        <v>7.3532999999999999</v>
      </c>
      <c r="R13" s="2" t="s">
        <v>20</v>
      </c>
      <c r="S13" s="1">
        <v>45887</v>
      </c>
      <c r="T13" s="1">
        <v>45888.658148148148</v>
      </c>
      <c r="U13" s="2" t="s">
        <v>58</v>
      </c>
      <c r="V13" s="2" t="s">
        <v>76</v>
      </c>
      <c r="W13" s="2" t="s">
        <v>60</v>
      </c>
      <c r="X13">
        <v>7.3411999999999997</v>
      </c>
      <c r="Y13">
        <v>0</v>
      </c>
      <c r="Z13" s="2" t="s">
        <v>74</v>
      </c>
      <c r="AA13" s="2" t="s">
        <v>70</v>
      </c>
      <c r="AB13" s="3">
        <f>1-combined_price_data[[#This Row],[lastPrice]]/combined_price_data[[#This Row],[yearRangeHigh]]</f>
        <v>8.0505108978069506E-3</v>
      </c>
    </row>
  </sheetData>
  <conditionalFormatting sqref="AB1:AB1048576">
    <cfRule type="colorScale" priority="1">
      <colorScale>
        <cfvo type="min"/>
        <cfvo type="percentile" val="50"/>
        <cfvo type="max"/>
        <color theme="5" tint="-0.249977111117893"/>
        <color rgb="FFFFEB84"/>
        <color theme="9" tint="-0.249977111117893"/>
      </colorScale>
    </cfRule>
  </conditionalFormatting>
  <pageMargins left="0.7" right="0.7" top="0.75" bottom="0.75" header="0.3" footer="0.3"/>
  <drawing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F52256F-368E-D645-B222-493C96419B9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combined-sector-data</vt:lpstr>
      <vt:lpstr>combined-price-data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Lars Graetz</dc:creator>
  <cp:lastModifiedBy>Lars Graetz</cp:lastModifiedBy>
  <dcterms:created xsi:type="dcterms:W3CDTF">2025-08-17T12:40:30Z</dcterms:created>
  <dcterms:modified xsi:type="dcterms:W3CDTF">2025-08-19T16:46:46Z</dcterms:modified>
</cp:coreProperties>
</file>