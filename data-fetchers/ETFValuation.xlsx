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larsgratz/Projects/SectorScreener/data-fetchers/"/>
    </mc:Choice>
  </mc:AlternateContent>
  <xr:revisionPtr revIDLastSave="0" documentId="13_ncr:1_{6275580A-409B-0A44-B558-936F851C12AA}" xr6:coauthVersionLast="47" xr6:coauthVersionMax="47" xr10:uidLastSave="{00000000-0000-0000-0000-000000000000}"/>
  <bookViews>
    <workbookView xWindow="-21700" yWindow="-28300" windowWidth="68800" windowHeight="28300" xr2:uid="{BEE40854-6986-8A4B-A412-C0420EE3F0C0}"/>
  </bookViews>
  <sheets>
    <sheet name="combined-sector-data " sheetId="5" r:id="rId1"/>
  </sheets>
  <definedNames>
    <definedName name="ExternalData_1" localSheetId="0" hidden="1">'combined-sector-data '!$A$1:$O$13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5" l="1"/>
  <c r="P8" i="5"/>
  <c r="P5" i="5"/>
  <c r="P13" i="5"/>
  <c r="P7" i="5"/>
  <c r="P12" i="5"/>
  <c r="P4" i="5"/>
  <c r="P6" i="5"/>
  <c r="P2" i="5"/>
  <c r="P11" i="5"/>
  <c r="P10" i="5"/>
  <c r="P3" i="5"/>
  <c r="Q9" i="5"/>
  <c r="Q8" i="5"/>
  <c r="Q5" i="5"/>
  <c r="Q13" i="5"/>
  <c r="Q7" i="5"/>
  <c r="Q12" i="5"/>
  <c r="Q4" i="5"/>
  <c r="Q6" i="5"/>
  <c r="Q2" i="5"/>
  <c r="Q11" i="5"/>
  <c r="Q10" i="5"/>
  <c r="Q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65DD97-4A30-3045-A404-0893095DCCB0}" keepAlive="1" name="Query - 0P0001IM5P" description="Connection to the '0P0001IM5P' query in the workbook." type="5" refreshedVersion="0" background="1">
    <dbPr connection="Provider=Microsoft.Mashup.OleDb.1;Data Source=$Workbook$;Location=0P0001IM5P;Extended Properties=&quot;&quot;" command="SELECT * FROM [0P0001IM5P]"/>
  </connection>
  <connection id="2" xr16:uid="{98283F61-16B9-4A48-AACD-30F5519720AA}" keepAlive="1" name="Query - combined-sector-data" description="Connection to the 'combined-sector-data' query in the workbook." type="5" refreshedVersion="8" background="1" saveData="1">
    <dbPr connection="Provider=Microsoft.Mashup.OleDb.1;Data Source=$Workbook$;Location=combined-sector-data;Extended Properties=&quot;&quot;" command="SELECT * FROM [combined-sector-data]"/>
  </connection>
  <connection id="3" xr16:uid="{00A14B1D-9BFC-7848-8D0B-D48B065926A6}" keepAlive="1" name="Query - combined-sector-data (2)" description="Connection to the 'combined-sector-data (2)' query in the workbook." type="5" refreshedVersion="8" background="1" saveData="1">
    <dbPr connection="Provider=Microsoft.Mashup.OleDb.1;Data Source=$Workbook$;Location=&quot;combined-sector-data (2)&quot;;Extended Properties=&quot;&quot;" command="SELECT * FROM [combined-sector-data (2)]"/>
  </connection>
</connections>
</file>

<file path=xl/sharedStrings.xml><?xml version="1.0" encoding="utf-8"?>
<sst xmlns="http://schemas.openxmlformats.org/spreadsheetml/2006/main" count="65" uniqueCount="44">
  <si>
    <t>fund_id</t>
  </si>
  <si>
    <t>prospectiveEarningsYield</t>
  </si>
  <si>
    <t>prospectiveBookValueYield</t>
  </si>
  <si>
    <t>prospectiveRevenueYield</t>
  </si>
  <si>
    <t>prospectiveCashFlowYield</t>
  </si>
  <si>
    <t>prospectiveDividendYield</t>
  </si>
  <si>
    <t>forecasted5YearEarningsGrowth</t>
  </si>
  <si>
    <t>forecastedEarningsGrowth</t>
  </si>
  <si>
    <t>forecastedBookValueGrowth</t>
  </si>
  <si>
    <t>forecastedRevenueGrowth</t>
  </si>
  <si>
    <t>forecastedCashFlowGrowth</t>
  </si>
  <si>
    <t>portfolioDate</t>
  </si>
  <si>
    <t>name</t>
  </si>
  <si>
    <t>secId</t>
  </si>
  <si>
    <t>currencyId</t>
  </si>
  <si>
    <t>0P0001IM5P</t>
  </si>
  <si>
    <t>iShares MSCIWldCnsmrDiscSectAdvcdETF$Inc</t>
  </si>
  <si>
    <t>EUR</t>
  </si>
  <si>
    <t>0P0001PVDX</t>
  </si>
  <si>
    <t>Amundi S&amp;P World Comm Svcs Scrn ETF Dist</t>
  </si>
  <si>
    <t>0P0001K9I4</t>
  </si>
  <si>
    <t>Amundi MSCI Semiconductors ETF Dis</t>
  </si>
  <si>
    <t>CHF</t>
  </si>
  <si>
    <t>F00001EK0E</t>
  </si>
  <si>
    <t>Amundi S&amp;P World Industrials Scrn ETFDis</t>
  </si>
  <si>
    <t>0P0001PVEX</t>
  </si>
  <si>
    <t>Amundi S&amp;P World Materials Scrn ETF Dist</t>
  </si>
  <si>
    <t>USD</t>
  </si>
  <si>
    <t>0P0001PVEF</t>
  </si>
  <si>
    <t>Amundi S&amp;P World Utilities Scrn ETF Dist</t>
  </si>
  <si>
    <t>0P0001FHMG</t>
  </si>
  <si>
    <t>HSBC FTSE EPRA/NAREIT Developed ETF</t>
  </si>
  <si>
    <t>F000011FXJ</t>
  </si>
  <si>
    <t>iShares Digital Security ETF USD Dist</t>
  </si>
  <si>
    <t>F0000171MM</t>
  </si>
  <si>
    <t>iShares MSCI Wld Fi Sec Advcd ETF USDInc</t>
  </si>
  <si>
    <t>0P0001IM5L</t>
  </si>
  <si>
    <t>iShares MSCI Wld HlthCrSect AdvcdETF$Inc</t>
  </si>
  <si>
    <t>0P0001IM5Q</t>
  </si>
  <si>
    <t>iShares MSCI WldCnsmrStpSectAdvcdETF$Inc</t>
  </si>
  <si>
    <t>0P0001IM5I</t>
  </si>
  <si>
    <t>iShares MSCI WldInfoTechSectAdvcdETF$Inc</t>
  </si>
  <si>
    <t>P/E/G</t>
  </si>
  <si>
    <t>P/CF/G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</si>
</sst>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27" formatCode="dd/mm/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P/E/G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'combined-sector-data '!$A$2:$A$13</c:f>
              <c:strCache>
                <c:ptCount val="12"/>
                <c:pt idx="0">
                  <c:v>iShares MSCI Wld HlthCrSect AdvcdETF$Inc</c:v>
                </c:pt>
                <c:pt idx="1">
                  <c:v>iShares MSCIWldCnsmrDiscSectAdvcdETF$Inc</c:v>
                </c:pt>
                <c:pt idx="2">
                  <c:v>iShares Digital Security ETF USD Dist</c:v>
                </c:pt>
                <c:pt idx="3">
                  <c:v>Amundi S&amp;P World Industrials Scrn ETFDis</c:v>
                </c:pt>
                <c:pt idx="4">
                  <c:v>iShares MSCI Wld Fi Sec Advcd ETF USDInc</c:v>
                </c:pt>
                <c:pt idx="5">
                  <c:v>Amundi S&amp;P World Utilities Scrn ETF Dist</c:v>
                </c:pt>
                <c:pt idx="6">
                  <c:v>Amundi MSCI Semiconductors ETF Dis</c:v>
                </c:pt>
                <c:pt idx="7">
                  <c:v>Amundi S&amp;P World Comm Svcs Scrn ETF Dist</c:v>
                </c:pt>
                <c:pt idx="8">
                  <c:v>iShares MSCI WldInfoTechSectAdvcdETF$Inc</c:v>
                </c:pt>
                <c:pt idx="9">
                  <c:v>iShares MSCI WldCnsmrStpSectAdvcdETF$Inc</c:v>
                </c:pt>
                <c:pt idx="10">
                  <c:v>HSBC FTSE EPRA/NAREIT Developed ETF</c:v>
                </c:pt>
                <c:pt idx="11">
                  <c:v>Amundi S&amp;P World Materials Scrn ETF Dist</c:v>
                </c:pt>
              </c:strCache>
            </c:strRef>
          </c:cat>
          <c:val>
            <c:numRef>
              <c:f>'combined-sector-data '!$P$2:$P$13</c:f>
              <c:numCache>
                <c:formatCode>General</c:formatCode>
                <c:ptCount val="12"/>
                <c:pt idx="0">
                  <c:v>2.1333825919167664</c:v>
                </c:pt>
                <c:pt idx="1">
                  <c:v>2.6407081200028539</c:v>
                </c:pt>
                <c:pt idx="2">
                  <c:v>2.4090234255803584</c:v>
                </c:pt>
                <c:pt idx="3">
                  <c:v>2.809830756201336</c:v>
                </c:pt>
                <c:pt idx="4">
                  <c:v>1.4246595809505953</c:v>
                </c:pt>
                <c:pt idx="5">
                  <c:v>2.2377356291545096</c:v>
                </c:pt>
                <c:pt idx="6">
                  <c:v>1.3272623857994335</c:v>
                </c:pt>
                <c:pt idx="7">
                  <c:v>2.5941581671531564</c:v>
                </c:pt>
                <c:pt idx="8">
                  <c:v>2.2802941965117096</c:v>
                </c:pt>
                <c:pt idx="9">
                  <c:v>3.6948802120277353</c:v>
                </c:pt>
                <c:pt idx="10">
                  <c:v>3.9422528388273586</c:v>
                </c:pt>
                <c:pt idx="11">
                  <c:v>1.6542068350514634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1-0541-BF23-203154192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7532767"/>
        <c:axId val="847534479"/>
      </c:barChart>
      <c:catAx>
        <c:axId val="847532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47534479"/>
        <c:crosses val="autoZero"/>
        <c:auto val="1"/>
        <c:lblAlgn val="ctr"/>
        <c:lblOffset val="100"/>
        <c:noMultiLvlLbl val="0"/>
      </c:catAx>
      <c:valAx>
        <c:axId val="84753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4753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P/CF/G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'combined-sector-data '!$A$2:$A$13</c:f>
              <c:strCache>
                <c:ptCount val="12"/>
                <c:pt idx="0">
                  <c:v>iShares MSCI Wld HlthCrSect AdvcdETF$Inc</c:v>
                </c:pt>
                <c:pt idx="1">
                  <c:v>iShares MSCIWldCnsmrDiscSectAdvcdETF$Inc</c:v>
                </c:pt>
                <c:pt idx="2">
                  <c:v>iShares Digital Security ETF USD Dist</c:v>
                </c:pt>
                <c:pt idx="3">
                  <c:v>Amundi S&amp;P World Industrials Scrn ETFDis</c:v>
                </c:pt>
                <c:pt idx="4">
                  <c:v>iShares MSCI Wld Fi Sec Advcd ETF USDInc</c:v>
                </c:pt>
                <c:pt idx="5">
                  <c:v>Amundi S&amp;P World Utilities Scrn ETF Dist</c:v>
                </c:pt>
                <c:pt idx="6">
                  <c:v>Amundi MSCI Semiconductors ETF Dis</c:v>
                </c:pt>
                <c:pt idx="7">
                  <c:v>Amundi S&amp;P World Comm Svcs Scrn ETF Dist</c:v>
                </c:pt>
                <c:pt idx="8">
                  <c:v>iShares MSCI WldInfoTechSectAdvcdETF$Inc</c:v>
                </c:pt>
                <c:pt idx="9">
                  <c:v>iShares MSCI WldCnsmrStpSectAdvcdETF$Inc</c:v>
                </c:pt>
                <c:pt idx="10">
                  <c:v>HSBC FTSE EPRA/NAREIT Developed ETF</c:v>
                </c:pt>
                <c:pt idx="11">
                  <c:v>Amundi S&amp;P World Materials Scrn ETF Dist</c:v>
                </c:pt>
              </c:strCache>
            </c:strRef>
          </c:cat>
          <c:val>
            <c:numRef>
              <c:f>'combined-sector-data '!$Q$2:$Q$13</c:f>
              <c:numCache>
                <c:formatCode>General</c:formatCode>
                <c:ptCount val="12"/>
                <c:pt idx="0">
                  <c:v>-1.4581854768537141</c:v>
                </c:pt>
                <c:pt idx="1">
                  <c:v>0.56470466364543281</c:v>
                </c:pt>
                <c:pt idx="2">
                  <c:v>0.68194957173366932</c:v>
                </c:pt>
                <c:pt idx="3">
                  <c:v>0.90498487765005442</c:v>
                </c:pt>
                <c:pt idx="4">
                  <c:v>1.0355358939222319</c:v>
                </c:pt>
                <c:pt idx="5">
                  <c:v>1.0454439747746267</c:v>
                </c:pt>
                <c:pt idx="6">
                  <c:v>1.1666565704865888</c:v>
                </c:pt>
                <c:pt idx="7">
                  <c:v>1.1842583164404419</c:v>
                </c:pt>
                <c:pt idx="8">
                  <c:v>1.3790714465955622</c:v>
                </c:pt>
                <c:pt idx="9">
                  <c:v>2.0631417220650459</c:v>
                </c:pt>
                <c:pt idx="10">
                  <c:v>12.417570978738908</c:v>
                </c:pt>
                <c:pt idx="11">
                  <c:v>87.936686752248718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8-CD48-AC6D-CD6C1E34F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7666319"/>
        <c:axId val="847668031"/>
      </c:barChart>
      <c:catAx>
        <c:axId val="847666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47668031"/>
        <c:crosses val="autoZero"/>
        <c:auto val="1"/>
        <c:lblAlgn val="ctr"/>
        <c:lblOffset val="100"/>
        <c:noMultiLvlLbl val="0"/>
      </c:catAx>
      <c:valAx>
        <c:axId val="84766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4766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13</xdr:row>
      <xdr:rowOff>12700</xdr:rowOff>
    </xdr:from>
    <xdr:to>
      <xdr:col>5</xdr:col>
      <xdr:colOff>1866900</xdr:colOff>
      <xdr:row>50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953F25-9D2E-7C17-295D-D24E0F427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6350</xdr:colOff>
      <xdr:row>13</xdr:row>
      <xdr:rowOff>0</xdr:rowOff>
    </xdr:from>
    <xdr:to>
      <xdr:col>11</xdr:col>
      <xdr:colOff>914400</xdr:colOff>
      <xdr:row>50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A959D8-0CEB-D563-799B-5F219B25C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B4DEA0C-13A9-C641-B840-D7459171BB12}" autoFormatId="16" applyNumberFormats="0" applyBorderFormats="0" applyFontFormats="0" applyPatternFormats="0" applyAlignmentFormats="0" applyWidthHeightFormats="0">
  <queryTableRefresh nextId="18" unboundColumnsRight="2">
    <queryTableFields count="17">
      <queryTableField id="1" name="name" tableColumnId="1"/>
      <queryTableField id="2" name="secId" tableColumnId="2"/>
      <queryTableField id="3" name="fund_id" tableColumnId="3"/>
      <queryTableField id="4" name="prospectiveEarningsYield" tableColumnId="4"/>
      <queryTableField id="5" name="prospectiveBookValueYield" tableColumnId="5"/>
      <queryTableField id="6" name="prospectiveRevenueYield" tableColumnId="6"/>
      <queryTableField id="7" name="prospectiveCashFlowYield" tableColumnId="7"/>
      <queryTableField id="8" name="prospectiveDividendYield" tableColumnId="8"/>
      <queryTableField id="9" name="forecasted5YearEarningsGrowth" tableColumnId="9"/>
      <queryTableField id="10" name="forecastedEarningsGrowth" tableColumnId="10"/>
      <queryTableField id="11" name="forecastedBookValueGrowth" tableColumnId="11"/>
      <queryTableField id="12" name="forecastedRevenueGrowth" tableColumnId="12"/>
      <queryTableField id="13" name="forecastedCashFlowGrowth" tableColumnId="13"/>
      <queryTableField id="14" name="portfolioDate" tableColumnId="14"/>
      <queryTableField id="15" name="currencyId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4A8530-762A-8549-97C2-3B0AC4B074E2}" name="combined_sector_data__2" displayName="combined_sector_data__2" ref="A1:Q13" tableType="queryTable" totalsRowShown="0">
  <autoFilter ref="A1:Q13" xr:uid="{554A8530-762A-8549-97C2-3B0AC4B074E2}"/>
  <sortState xmlns:xlrd2="http://schemas.microsoft.com/office/spreadsheetml/2017/richdata2" ref="A2:Q13">
    <sortCondition ref="Q1:Q13"/>
  </sortState>
  <tableColumns count="17">
    <tableColumn id="1" xr3:uid="{66BE36DC-4470-9E4D-8E68-495733178A4A}" uniqueName="1" name="name" queryTableFieldId="1" dataDxfId="6"/>
    <tableColumn id="2" xr3:uid="{0621F205-FB98-044E-AB84-81B22936F008}" uniqueName="2" name="secId" queryTableFieldId="2" dataDxfId="5"/>
    <tableColumn id="3" xr3:uid="{9074A804-A423-3845-9518-09012E0267E9}" uniqueName="3" name="fund_id" queryTableFieldId="3" dataDxfId="4"/>
    <tableColumn id="4" xr3:uid="{50E37B83-9916-1D40-901D-52B5297ACBA1}" uniqueName="4" name="prospectiveEarningsYield" queryTableFieldId="4"/>
    <tableColumn id="5" xr3:uid="{40A3B656-FA76-CF40-A20B-68F300018D44}" uniqueName="5" name="prospectiveBookValueYield" queryTableFieldId="5"/>
    <tableColumn id="6" xr3:uid="{1959AA3F-B0FF-674E-9541-0800041A7009}" uniqueName="6" name="prospectiveRevenueYield" queryTableFieldId="6"/>
    <tableColumn id="7" xr3:uid="{CDDD1ADF-2A37-734A-93D2-AEDA72F692EF}" uniqueName="7" name="prospectiveCashFlowYield" queryTableFieldId="7"/>
    <tableColumn id="8" xr3:uid="{5AF7F0D2-874E-3C4E-953D-65FACE60372F}" uniqueName="8" name="prospectiveDividendYield" queryTableFieldId="8"/>
    <tableColumn id="9" xr3:uid="{BDED9916-A0D9-094B-A877-F648A9943B88}" uniqueName="9" name="forecasted5YearEarningsGrowth" queryTableFieldId="9"/>
    <tableColumn id="10" xr3:uid="{3017C4C6-4FDB-D243-AE05-E97DA79B4B37}" uniqueName="10" name="forecastedEarningsGrowth" queryTableFieldId="10"/>
    <tableColumn id="11" xr3:uid="{8C6D209B-190F-274C-A4BC-2A9EB0E1FC99}" uniqueName="11" name="forecastedBookValueGrowth" queryTableFieldId="11"/>
    <tableColumn id="12" xr3:uid="{E91BEEF7-B612-784D-94BC-046C07CA5466}" uniqueName="12" name="forecastedRevenueGrowth" queryTableFieldId="12"/>
    <tableColumn id="13" xr3:uid="{C63B78B1-CB8F-A74D-92D9-402CB600B450}" uniqueName="13" name="forecastedCashFlowGrowth" queryTableFieldId="13"/>
    <tableColumn id="14" xr3:uid="{C37D0CAF-E1E3-794B-AF70-2100559F7D29}" uniqueName="14" name="portfolioDate" queryTableFieldId="14" dataDxfId="3"/>
    <tableColumn id="15" xr3:uid="{44F1293F-0EF9-ED4A-8A4A-82F1337E2D83}" uniqueName="15" name="currencyId" queryTableFieldId="15" dataDxfId="2"/>
    <tableColumn id="16" xr3:uid="{A97BAEE7-CD60-1744-AC05-318514457A6B}" uniqueName="16" name="P/E/G" queryTableFieldId="16" dataDxfId="1">
      <calculatedColumnFormula>combined_sector_data__2[[#This Row],[prospectiveEarningsYield]]/combined_sector_data__2[[#This Row],[forecasted5YearEarningsGrowth]]</calculatedColumnFormula>
    </tableColumn>
    <tableColumn id="17" xr3:uid="{8A227EC1-F619-F04F-B186-B16D434A2CD4}" uniqueName="17" name="P/CF/G" queryTableFieldId="17" dataDxfId="0">
      <calculatedColumnFormula>combined_sector_data__2[[#This Row],[prospectiveCashFlowYield]]/combined_sector_data__2[[#This Row],[forecastedCashFlowGrowth]]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5575-9B9D-C648-BF78-24825784CD87}">
  <sheetPr codeName="Sheet1"/>
  <dimension ref="A1:Q13"/>
  <sheetViews>
    <sheetView tabSelected="1" workbookViewId="0">
      <selection activeCell="E62" sqref="E62"/>
    </sheetView>
  </sheetViews>
  <sheetFormatPr baseColWidth="10" defaultRowHeight="16" x14ac:dyDescent="0.2"/>
  <cols>
    <col min="1" max="1" width="39.6640625" bestFit="1" customWidth="1"/>
    <col min="2" max="3" width="12.33203125" bestFit="1" customWidth="1"/>
    <col min="4" max="4" width="24.83203125" bestFit="1" customWidth="1"/>
    <col min="5" max="5" width="26.5" bestFit="1" customWidth="1"/>
    <col min="6" max="6" width="24.6640625" bestFit="1" customWidth="1"/>
    <col min="7" max="7" width="25.83203125" bestFit="1" customWidth="1"/>
    <col min="8" max="8" width="24.83203125" bestFit="1" customWidth="1"/>
    <col min="9" max="9" width="31" bestFit="1" customWidth="1"/>
    <col min="10" max="10" width="26.1640625" bestFit="1" customWidth="1"/>
    <col min="11" max="11" width="27.83203125" bestFit="1" customWidth="1"/>
    <col min="12" max="12" width="26" bestFit="1" customWidth="1"/>
    <col min="13" max="13" width="27.1640625" bestFit="1" customWidth="1"/>
    <col min="14" max="14" width="14.6640625" bestFit="1" customWidth="1"/>
    <col min="15" max="15" width="12.33203125" bestFit="1" customWidth="1"/>
    <col min="16" max="16" width="12.1640625" bestFit="1" customWidth="1"/>
    <col min="17" max="17" width="12.83203125" bestFit="1" customWidth="1"/>
  </cols>
  <sheetData>
    <row r="1" spans="1:17" x14ac:dyDescent="0.2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14</v>
      </c>
      <c r="P1" t="s">
        <v>42</v>
      </c>
      <c r="Q1" t="s">
        <v>43</v>
      </c>
    </row>
    <row r="2" spans="1:17" x14ac:dyDescent="0.2">
      <c r="A2" t="s">
        <v>37</v>
      </c>
      <c r="B2" t="s">
        <v>36</v>
      </c>
      <c r="C2" t="s">
        <v>36</v>
      </c>
      <c r="D2">
        <v>17.092960000000001</v>
      </c>
      <c r="E2">
        <v>3.8336100000000002</v>
      </c>
      <c r="F2">
        <v>0.93981999999999999</v>
      </c>
      <c r="G2">
        <v>12.652340000000001</v>
      </c>
      <c r="H2">
        <v>1.89394</v>
      </c>
      <c r="I2">
        <v>8.0121400000000005</v>
      </c>
      <c r="J2">
        <v>4.7663000000000002</v>
      </c>
      <c r="K2">
        <v>6.3138199999999998</v>
      </c>
      <c r="L2">
        <v>11.756629999999999</v>
      </c>
      <c r="M2">
        <v>-8.6767699999999994</v>
      </c>
      <c r="N2" s="1">
        <v>45884.208333333336</v>
      </c>
      <c r="O2" t="s">
        <v>17</v>
      </c>
      <c r="P2">
        <f>combined_sector_data__2[[#This Row],[prospectiveEarningsYield]]/combined_sector_data__2[[#This Row],[forecasted5YearEarningsGrowth]]</f>
        <v>2.1333825919167664</v>
      </c>
      <c r="Q2">
        <f>combined_sector_data__2[[#This Row],[prospectiveCashFlowYield]]/combined_sector_data__2[[#This Row],[forecastedCashFlowGrowth]]</f>
        <v>-1.4581854768537141</v>
      </c>
    </row>
    <row r="3" spans="1:17" x14ac:dyDescent="0.2">
      <c r="A3" t="s">
        <v>16</v>
      </c>
      <c r="B3" t="s">
        <v>15</v>
      </c>
      <c r="C3" t="s">
        <v>15</v>
      </c>
      <c r="D3">
        <v>24.060680000000001</v>
      </c>
      <c r="E3">
        <v>3.4268399999999999</v>
      </c>
      <c r="F3">
        <v>1.8821699999999999</v>
      </c>
      <c r="G3">
        <v>12.97418</v>
      </c>
      <c r="H3">
        <v>1.33117</v>
      </c>
      <c r="I3">
        <v>9.1114499999999996</v>
      </c>
      <c r="J3">
        <v>7.12521</v>
      </c>
      <c r="K3">
        <v>11.19768</v>
      </c>
      <c r="L3">
        <v>8.5179399999999994</v>
      </c>
      <c r="M3">
        <v>22.975159999999999</v>
      </c>
      <c r="N3" s="1">
        <v>45884.208333333336</v>
      </c>
      <c r="O3" t="s">
        <v>17</v>
      </c>
      <c r="P3">
        <f>combined_sector_data__2[[#This Row],[prospectiveEarningsYield]]/combined_sector_data__2[[#This Row],[forecasted5YearEarningsGrowth]]</f>
        <v>2.6407081200028539</v>
      </c>
      <c r="Q3">
        <f>combined_sector_data__2[[#This Row],[prospectiveCashFlowYield]]/combined_sector_data__2[[#This Row],[forecastedCashFlowGrowth]]</f>
        <v>0.56470466364543281</v>
      </c>
    </row>
    <row r="4" spans="1:17" x14ac:dyDescent="0.2">
      <c r="A4" t="s">
        <v>33</v>
      </c>
      <c r="B4" t="s">
        <v>32</v>
      </c>
      <c r="C4" t="s">
        <v>32</v>
      </c>
      <c r="D4">
        <v>24.631589999999999</v>
      </c>
      <c r="E4">
        <v>3.89533</v>
      </c>
      <c r="F4">
        <v>2.4692699999999999</v>
      </c>
      <c r="G4">
        <v>13.58672</v>
      </c>
      <c r="H4">
        <v>1.0359</v>
      </c>
      <c r="I4">
        <v>10.22472</v>
      </c>
      <c r="J4">
        <v>16.246839999999999</v>
      </c>
      <c r="K4">
        <v>5.24831</v>
      </c>
      <c r="L4">
        <v>5.0048700000000004</v>
      </c>
      <c r="M4">
        <v>19.923349999999999</v>
      </c>
      <c r="N4" s="1">
        <v>45884.208333333336</v>
      </c>
      <c r="O4" t="s">
        <v>27</v>
      </c>
      <c r="P4">
        <f>combined_sector_data__2[[#This Row],[prospectiveEarningsYield]]/combined_sector_data__2[[#This Row],[forecasted5YearEarningsGrowth]]</f>
        <v>2.4090234255803584</v>
      </c>
      <c r="Q4">
        <f>combined_sector_data__2[[#This Row],[prospectiveCashFlowYield]]/combined_sector_data__2[[#This Row],[forecastedCashFlowGrowth]]</f>
        <v>0.68194957173366932</v>
      </c>
    </row>
    <row r="5" spans="1:17" x14ac:dyDescent="0.2">
      <c r="A5" t="s">
        <v>24</v>
      </c>
      <c r="B5" t="s">
        <v>23</v>
      </c>
      <c r="C5" t="s">
        <v>23</v>
      </c>
      <c r="D5">
        <v>22.261980000000001</v>
      </c>
      <c r="E5">
        <v>3.4282699999999999</v>
      </c>
      <c r="F5">
        <v>2.0285000000000002</v>
      </c>
      <c r="G5">
        <v>13.662430000000001</v>
      </c>
      <c r="H5">
        <v>1.84449</v>
      </c>
      <c r="I5">
        <v>7.9228899999999998</v>
      </c>
      <c r="J5">
        <v>10.51243</v>
      </c>
      <c r="K5">
        <v>7.6353400000000002</v>
      </c>
      <c r="L5">
        <v>6.3470199999999997</v>
      </c>
      <c r="M5">
        <v>15.09686</v>
      </c>
      <c r="N5" s="1">
        <v>45883.208333333336</v>
      </c>
      <c r="O5" t="s">
        <v>17</v>
      </c>
      <c r="P5">
        <f>combined_sector_data__2[[#This Row],[prospectiveEarningsYield]]/combined_sector_data__2[[#This Row],[forecasted5YearEarningsGrowth]]</f>
        <v>2.809830756201336</v>
      </c>
      <c r="Q5">
        <f>combined_sector_data__2[[#This Row],[prospectiveCashFlowYield]]/combined_sector_data__2[[#This Row],[forecastedCashFlowGrowth]]</f>
        <v>0.90498487765005442</v>
      </c>
    </row>
    <row r="6" spans="1:17" x14ac:dyDescent="0.2">
      <c r="A6" t="s">
        <v>35</v>
      </c>
      <c r="B6" t="s">
        <v>34</v>
      </c>
      <c r="C6" t="s">
        <v>34</v>
      </c>
      <c r="D6">
        <v>14.58897</v>
      </c>
      <c r="E6">
        <v>1.9227700000000001</v>
      </c>
      <c r="F6">
        <v>2.29135</v>
      </c>
      <c r="G6">
        <v>13.07333</v>
      </c>
      <c r="H6">
        <v>2.99851</v>
      </c>
      <c r="I6">
        <v>10.240320000000001</v>
      </c>
      <c r="J6">
        <v>10.92535</v>
      </c>
      <c r="K6">
        <v>6.4241599999999996</v>
      </c>
      <c r="L6">
        <v>7.7154100000000003</v>
      </c>
      <c r="M6">
        <v>12.624700000000001</v>
      </c>
      <c r="N6" s="1">
        <v>45884.208333333336</v>
      </c>
      <c r="O6" t="s">
        <v>27</v>
      </c>
      <c r="P6">
        <f>combined_sector_data__2[[#This Row],[prospectiveEarningsYield]]/combined_sector_data__2[[#This Row],[forecasted5YearEarningsGrowth]]</f>
        <v>1.4246595809505953</v>
      </c>
      <c r="Q6">
        <f>combined_sector_data__2[[#This Row],[prospectiveCashFlowYield]]/combined_sector_data__2[[#This Row],[forecastedCashFlowGrowth]]</f>
        <v>1.0355358939222319</v>
      </c>
    </row>
    <row r="7" spans="1:17" x14ac:dyDescent="0.2">
      <c r="A7" t="s">
        <v>29</v>
      </c>
      <c r="B7" t="s">
        <v>28</v>
      </c>
      <c r="C7" t="s">
        <v>28</v>
      </c>
      <c r="D7">
        <v>16.896090000000001</v>
      </c>
      <c r="E7">
        <v>2.02122</v>
      </c>
      <c r="F7">
        <v>1.8782000000000001</v>
      </c>
      <c r="G7">
        <v>7.6422999999999996</v>
      </c>
      <c r="H7">
        <v>3.8131499999999998</v>
      </c>
      <c r="I7">
        <v>7.5505300000000002</v>
      </c>
      <c r="J7">
        <v>9.0882699999999996</v>
      </c>
      <c r="K7">
        <v>4.8281400000000003</v>
      </c>
      <c r="L7">
        <v>-4.7431200000000002</v>
      </c>
      <c r="M7">
        <v>7.3101000000000003</v>
      </c>
      <c r="N7" s="1">
        <v>45883.208333333336</v>
      </c>
      <c r="O7" t="s">
        <v>17</v>
      </c>
      <c r="P7">
        <f>combined_sector_data__2[[#This Row],[prospectiveEarningsYield]]/combined_sector_data__2[[#This Row],[forecasted5YearEarningsGrowth]]</f>
        <v>2.2377356291545096</v>
      </c>
      <c r="Q7">
        <f>combined_sector_data__2[[#This Row],[prospectiveCashFlowYield]]/combined_sector_data__2[[#This Row],[forecastedCashFlowGrowth]]</f>
        <v>1.0454439747746267</v>
      </c>
    </row>
    <row r="8" spans="1:17" x14ac:dyDescent="0.2">
      <c r="A8" t="s">
        <v>21</v>
      </c>
      <c r="B8" t="s">
        <v>20</v>
      </c>
      <c r="C8" t="s">
        <v>20</v>
      </c>
      <c r="D8">
        <v>26.882159999999999</v>
      </c>
      <c r="E8">
        <v>7.3593799999999998</v>
      </c>
      <c r="F8">
        <v>8.1162799999999997</v>
      </c>
      <c r="G8">
        <v>18.1035</v>
      </c>
      <c r="H8">
        <v>0.86436000000000002</v>
      </c>
      <c r="I8">
        <v>20.25384</v>
      </c>
      <c r="J8">
        <v>16.532150000000001</v>
      </c>
      <c r="K8">
        <v>15.358549999999999</v>
      </c>
      <c r="L8">
        <v>11.409420000000001</v>
      </c>
      <c r="M8">
        <v>15.51742</v>
      </c>
      <c r="N8" s="1">
        <v>45883.208333333336</v>
      </c>
      <c r="O8" t="s">
        <v>22</v>
      </c>
      <c r="P8">
        <f>combined_sector_data__2[[#This Row],[prospectiveEarningsYield]]/combined_sector_data__2[[#This Row],[forecasted5YearEarningsGrowth]]</f>
        <v>1.3272623857994335</v>
      </c>
      <c r="Q8">
        <f>combined_sector_data__2[[#This Row],[prospectiveCashFlowYield]]/combined_sector_data__2[[#This Row],[forecastedCashFlowGrowth]]</f>
        <v>1.1666565704865888</v>
      </c>
    </row>
    <row r="9" spans="1:17" x14ac:dyDescent="0.2">
      <c r="A9" t="s">
        <v>19</v>
      </c>
      <c r="B9" t="s">
        <v>18</v>
      </c>
      <c r="C9" t="s">
        <v>18</v>
      </c>
      <c r="D9">
        <v>22.29832</v>
      </c>
      <c r="E9">
        <v>4.4682899999999997</v>
      </c>
      <c r="F9">
        <v>4.0629</v>
      </c>
      <c r="G9">
        <v>12.67713</v>
      </c>
      <c r="H9">
        <v>1.2886899999999999</v>
      </c>
      <c r="I9">
        <v>8.5955899999999996</v>
      </c>
      <c r="J9">
        <v>25.222930000000002</v>
      </c>
      <c r="K9">
        <v>5.7464500000000003</v>
      </c>
      <c r="L9">
        <v>8.2994500000000002</v>
      </c>
      <c r="M9">
        <v>10.704700000000001</v>
      </c>
      <c r="N9" s="1">
        <v>45883.208333333336</v>
      </c>
      <c r="O9" t="s">
        <v>17</v>
      </c>
      <c r="P9">
        <f>combined_sector_data__2[[#This Row],[prospectiveEarningsYield]]/combined_sector_data__2[[#This Row],[forecasted5YearEarningsGrowth]]</f>
        <v>2.5941581671531564</v>
      </c>
      <c r="Q9">
        <f>combined_sector_data__2[[#This Row],[prospectiveCashFlowYield]]/combined_sector_data__2[[#This Row],[forecastedCashFlowGrowth]]</f>
        <v>1.1842583164404419</v>
      </c>
    </row>
    <row r="10" spans="1:17" x14ac:dyDescent="0.2">
      <c r="A10" t="s">
        <v>41</v>
      </c>
      <c r="B10" t="s">
        <v>40</v>
      </c>
      <c r="C10" t="s">
        <v>40</v>
      </c>
      <c r="D10">
        <v>29.509309999999999</v>
      </c>
      <c r="E10">
        <v>8.0604499999999994</v>
      </c>
      <c r="F10">
        <v>6.0811099999999998</v>
      </c>
      <c r="G10">
        <v>22.079319999999999</v>
      </c>
      <c r="H10">
        <v>0.64944000000000002</v>
      </c>
      <c r="I10">
        <v>12.94101</v>
      </c>
      <c r="J10">
        <v>15.27703</v>
      </c>
      <c r="K10">
        <v>12.86908</v>
      </c>
      <c r="L10">
        <v>7.0107299999999997</v>
      </c>
      <c r="M10">
        <v>16.010280000000002</v>
      </c>
      <c r="N10" s="1">
        <v>45884.208333333336</v>
      </c>
      <c r="O10" t="s">
        <v>17</v>
      </c>
      <c r="P10">
        <f>combined_sector_data__2[[#This Row],[prospectiveEarningsYield]]/combined_sector_data__2[[#This Row],[forecasted5YearEarningsGrowth]]</f>
        <v>2.2802941965117096</v>
      </c>
      <c r="Q10">
        <f>combined_sector_data__2[[#This Row],[prospectiveCashFlowYield]]/combined_sector_data__2[[#This Row],[forecastedCashFlowGrowth]]</f>
        <v>1.3790714465955622</v>
      </c>
    </row>
    <row r="11" spans="1:17" x14ac:dyDescent="0.2">
      <c r="A11" t="s">
        <v>39</v>
      </c>
      <c r="B11" t="s">
        <v>38</v>
      </c>
      <c r="C11" t="s">
        <v>38</v>
      </c>
      <c r="D11">
        <v>20.158860000000001</v>
      </c>
      <c r="E11">
        <v>3.5992199999999999</v>
      </c>
      <c r="F11">
        <v>1.0651600000000001</v>
      </c>
      <c r="G11">
        <v>12.44811</v>
      </c>
      <c r="H11">
        <v>2.74797</v>
      </c>
      <c r="I11">
        <v>5.4558900000000001</v>
      </c>
      <c r="J11">
        <v>1.2883199999999999</v>
      </c>
      <c r="K11">
        <v>3.52969</v>
      </c>
      <c r="L11">
        <v>4.8633600000000001</v>
      </c>
      <c r="M11">
        <v>6.0335700000000001</v>
      </c>
      <c r="N11" s="1">
        <v>45884.208333333336</v>
      </c>
      <c r="O11" t="s">
        <v>17</v>
      </c>
      <c r="P11">
        <f>combined_sector_data__2[[#This Row],[prospectiveEarningsYield]]/combined_sector_data__2[[#This Row],[forecasted5YearEarningsGrowth]]</f>
        <v>3.6948802120277353</v>
      </c>
      <c r="Q11">
        <f>combined_sector_data__2[[#This Row],[prospectiveCashFlowYield]]/combined_sector_data__2[[#This Row],[forecastedCashFlowGrowth]]</f>
        <v>2.0631417220650459</v>
      </c>
    </row>
    <row r="12" spans="1:17" x14ac:dyDescent="0.2">
      <c r="A12" t="s">
        <v>31</v>
      </c>
      <c r="B12" t="s">
        <v>30</v>
      </c>
      <c r="C12" t="s">
        <v>30</v>
      </c>
      <c r="D12">
        <v>22.541920000000001</v>
      </c>
      <c r="E12">
        <v>1.4150400000000001</v>
      </c>
      <c r="F12">
        <v>5.6939500000000001</v>
      </c>
      <c r="G12">
        <v>14.315099999999999</v>
      </c>
      <c r="H12">
        <v>4.3528500000000001</v>
      </c>
      <c r="I12">
        <v>5.7180299999999997</v>
      </c>
      <c r="J12">
        <v>-3.2839200000000002</v>
      </c>
      <c r="K12">
        <v>-8.0210000000000004E-2</v>
      </c>
      <c r="L12">
        <v>3.8318300000000001</v>
      </c>
      <c r="M12">
        <v>1.1528099999999999</v>
      </c>
      <c r="N12" s="1">
        <v>45883.208333333336</v>
      </c>
      <c r="O12" t="s">
        <v>17</v>
      </c>
      <c r="P12">
        <f>combined_sector_data__2[[#This Row],[prospectiveEarningsYield]]/combined_sector_data__2[[#This Row],[forecasted5YearEarningsGrowth]]</f>
        <v>3.9422528388273586</v>
      </c>
      <c r="Q12">
        <f>combined_sector_data__2[[#This Row],[prospectiveCashFlowYield]]/combined_sector_data__2[[#This Row],[forecastedCashFlowGrowth]]</f>
        <v>12.417570978738908</v>
      </c>
    </row>
    <row r="13" spans="1:17" x14ac:dyDescent="0.2">
      <c r="A13" t="s">
        <v>26</v>
      </c>
      <c r="B13" t="s">
        <v>25</v>
      </c>
      <c r="C13" t="s">
        <v>25</v>
      </c>
      <c r="D13">
        <v>18.51294</v>
      </c>
      <c r="E13">
        <v>2.1925599999999998</v>
      </c>
      <c r="F13">
        <v>1.95038</v>
      </c>
      <c r="G13">
        <v>10.06963</v>
      </c>
      <c r="H13">
        <v>2.47559</v>
      </c>
      <c r="I13">
        <v>11.19143</v>
      </c>
      <c r="J13">
        <v>-5.2451499999999998</v>
      </c>
      <c r="K13">
        <v>7.2924199999999999</v>
      </c>
      <c r="L13">
        <v>3.5974300000000001</v>
      </c>
      <c r="M13">
        <v>0.11451</v>
      </c>
      <c r="N13" s="1">
        <v>45883.208333333336</v>
      </c>
      <c r="O13" t="s">
        <v>27</v>
      </c>
      <c r="P13">
        <f>combined_sector_data__2[[#This Row],[prospectiveEarningsYield]]/combined_sector_data__2[[#This Row],[forecasted5YearEarningsGrowth]]</f>
        <v>1.6542068350514634</v>
      </c>
      <c r="Q13">
        <f>combined_sector_data__2[[#This Row],[prospectiveCashFlowYield]]/combined_sector_data__2[[#This Row],[forecastedCashFlowGrowth]]</f>
        <v>87.936686752248718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52256F-368E-D645-B222-493C96419B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combined-sector-data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Graetz</dc:creator>
  <cp:lastModifiedBy>Lars Graetz</cp:lastModifiedBy>
  <dcterms:created xsi:type="dcterms:W3CDTF">2025-08-17T12:40:30Z</dcterms:created>
  <dcterms:modified xsi:type="dcterms:W3CDTF">2025-08-19T08:47:36Z</dcterms:modified>
</cp:coreProperties>
</file>