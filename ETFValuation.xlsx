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arsgratz/Projects/SectorScreener/"/>
    </mc:Choice>
  </mc:AlternateContent>
  <xr:revisionPtr revIDLastSave="0" documentId="13_ncr:1_{D9D640E8-B348-804A-8A51-A7003D1C359D}" xr6:coauthVersionLast="47" xr6:coauthVersionMax="47" xr10:uidLastSave="{00000000-0000-0000-0000-000000000000}"/>
  <bookViews>
    <workbookView xWindow="-21700" yWindow="-28300" windowWidth="68800" windowHeight="28300" xr2:uid="{BEE40854-6986-8A4B-A412-C0420EE3F0C0}"/>
  </bookViews>
  <sheets>
    <sheet name="combined-sector-data" sheetId="11" r:id="rId1"/>
    <sheet name="combined-price-data" sheetId="8" r:id="rId2"/>
  </sheets>
  <definedNames>
    <definedName name="ExternalData_2" localSheetId="1" hidden="1">'combined-price-data'!$A$1:$G$7</definedName>
    <definedName name="ExternalData_2" localSheetId="0" hidden="1">'combined-sector-data'!$A$1:$M$7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/>
  <c r="H2" i="8"/>
  <c r="H7" i="8"/>
  <c r="H6" i="8"/>
  <c r="H3" i="8"/>
  <c r="H4" i="8"/>
  <c r="I5" i="8"/>
  <c r="I2" i="8"/>
  <c r="I7" i="8"/>
  <c r="I6" i="8"/>
  <c r="I3" i="8"/>
  <c r="I4" i="8"/>
  <c r="N7" i="11"/>
  <c r="N2" i="11"/>
  <c r="N5" i="11"/>
  <c r="P5" i="11" s="1"/>
  <c r="N6" i="11"/>
  <c r="P6" i="11" s="1"/>
  <c r="N3" i="11"/>
  <c r="P3" i="11" s="1"/>
  <c r="N4" i="11"/>
  <c r="O7" i="11"/>
  <c r="P7" i="11" s="1"/>
  <c r="O2" i="11"/>
  <c r="P2" i="11" s="1"/>
  <c r="O5" i="11"/>
  <c r="O6" i="11"/>
  <c r="O3" i="11"/>
  <c r="O4" i="11"/>
  <c r="P4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tc={CD480A6D-2749-5B41-9BB7-143EC83087C6}</author>
    <author>tc={306A134F-3CDC-3D4D-B137-7AAAF48BC503}</author>
  </authors>
  <commentList>
    <comment ref="G1" authorId="0" shapeId="0" xr:uid="{CD480A6D-2749-5B41-9BB7-143EC83087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year range low seems to include way to low data. This should not be used with confidence.</t>
      </text>
    </comment>
    <comment ref="I1" authorId="1" shapeId="0" xr:uid="{306A134F-3CDC-3D4D-B137-7AAAF48BC503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the weirdly low data from the year range lows this deviation is also not always correct.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7BFFEB-8E37-1445-B596-30364D4E7B48}" keepAlive="1" name="Query - combined-price-data" description="Connection to the 'combined-price-data' query in the workbook." type="5" refreshedVersion="8" background="1" saveData="1">
    <dbPr connection="Provider=Microsoft.Mashup.OleDb.1;Data Source=$Workbook$;Location=combined-price-data;Extended Properties=&quot;&quot;" command="SELECT * FROM [combined-price-data]"/>
  </connection>
  <connection id="2" xr16:uid="{FFEF93EE-E4AC-AB4B-A93D-EEC3A2F740CD}" keepAlive="1" name="Query - combined-sector-data" description="Connection to the 'combined-sector-data' query in the workbook." type="5" refreshedVersion="8" background="1" saveData="1">
    <dbPr connection="Provider=Microsoft.Mashup.OleDb.1;Data Source=$Workbook$;Location=combined-sector-data;Extended Properties=&quot;&quot;" command="SELECT * FROM [combined-sector-data]"/>
  </connection>
</connections>
</file>

<file path=xl/sharedStrings.xml><?xml version="1.0" encoding="utf-8"?>
<sst xmlns="http://schemas.openxmlformats.org/spreadsheetml/2006/main" count="49" uniqueCount="35">
  <si>
    <t>fund_id</t>
  </si>
  <si>
    <t>portfolioDate</t>
  </si>
  <si>
    <t>0P0001IM5P</t>
  </si>
  <si>
    <t>0P0001PVDX</t>
  </si>
  <si>
    <t>0P0001IM5I</t>
  </si>
  <si>
    <t>PEG</t>
  </si>
  <si>
    <t>PCFG</t>
  </si>
  <si>
    <t>Normalized PEG PCFG</t>
  </si>
  <si>
    <t>fund_name</t>
  </si>
  <si>
    <t>fetch_timestamp</t>
  </si>
  <si>
    <t>lastPrice</t>
  </si>
  <si>
    <t>asOfDate</t>
  </si>
  <si>
    <t>yearRangeHigh</t>
  </si>
  <si>
    <t>yearRangeLow</t>
  </si>
  <si>
    <t>Amundi S&amp;P World Communication Services</t>
  </si>
  <si>
    <t>iShares MSCI World Information Technology</t>
  </si>
  <si>
    <t>iShares MSCI World Consumer Discretionary</t>
  </si>
  <si>
    <t>Deviation from Year High</t>
  </si>
  <si>
    <t>Deviation from Year Low</t>
  </si>
  <si>
    <t>Price/Earnings</t>
  </si>
  <si>
    <t>Price/Book</t>
  </si>
  <si>
    <t>Price/Sales</t>
  </si>
  <si>
    <t>Price/Cashflow</t>
  </si>
  <si>
    <t>Dividend Yield</t>
  </si>
  <si>
    <t>Long-Term Earnings %</t>
  </si>
  <si>
    <t>Historical Earnings %</t>
  </si>
  <si>
    <t>Book-Value Growth %</t>
  </si>
  <si>
    <t>Sales Growth %</t>
  </si>
  <si>
    <t>Cashflow Growth %</t>
  </si>
  <si>
    <t>Invesco FTSE All-World ETF</t>
  </si>
  <si>
    <t>0P0001RAAT</t>
  </si>
  <si>
    <t>iShares Digital Security</t>
  </si>
  <si>
    <t>F000011FXJ</t>
  </si>
  <si>
    <t>Amundi MSCI Semiconductors</t>
  </si>
  <si>
    <t>0P0001K9I4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</si>
</sst>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2">
    <dxf>
      <numFmt numFmtId="14" formatCode="0.00%"/>
    </dxf>
    <dxf>
      <numFmt numFmtId="14" formatCode="0.00%"/>
    </dxf>
    <dxf>
      <numFmt numFmtId="27" formatCode="dd/mm/yy\ hh:mm"/>
    </dxf>
    <dxf>
      <numFmt numFmtId="27" formatCode="dd/mm/yy\ hh:mm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'combined-sector-data'!$A$2:$A$7</c:f>
              <c:strCache>
                <c:ptCount val="6"/>
                <c:pt idx="0">
                  <c:v>Amundi S&amp;P World Communication Services</c:v>
                </c:pt>
                <c:pt idx="1">
                  <c:v>iShares Digital Security</c:v>
                </c:pt>
                <c:pt idx="2">
                  <c:v>Amundi MSCI Semiconductors</c:v>
                </c:pt>
                <c:pt idx="3">
                  <c:v>iShares MSCI World Information Technology</c:v>
                </c:pt>
                <c:pt idx="4">
                  <c:v>iShares MSCI World Consumer Discretionary</c:v>
                </c:pt>
                <c:pt idx="5">
                  <c:v>Invesco FTSE All-World ETF</c:v>
                </c:pt>
              </c:strCache>
            </c:strRef>
          </c:cat>
          <c:val>
            <c:numRef>
              <c:f>'combined-sector-data'!$N$2:$N$7</c:f>
              <c:numCache>
                <c:formatCode>General</c:formatCode>
                <c:ptCount val="6"/>
                <c:pt idx="0">
                  <c:v>1.3157660358880281</c:v>
                </c:pt>
                <c:pt idx="1">
                  <c:v>1.8550253477285261</c:v>
                </c:pt>
                <c:pt idx="2">
                  <c:v>1.4648447810064915</c:v>
                </c:pt>
                <c:pt idx="3">
                  <c:v>2.083251473825511</c:v>
                </c:pt>
                <c:pt idx="4">
                  <c:v>2.9427325744320099</c:v>
                </c:pt>
                <c:pt idx="5">
                  <c:v>2.396468418250171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2-A34F-893A-51A98D05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376607"/>
        <c:axId val="2049764223"/>
      </c:barChart>
      <c:catAx>
        <c:axId val="20613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49764223"/>
        <c:crosses val="autoZero"/>
        <c:auto val="1"/>
        <c:lblAlgn val="ctr"/>
        <c:lblOffset val="100"/>
        <c:noMultiLvlLbl val="0"/>
      </c:catAx>
      <c:valAx>
        <c:axId val="204976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137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PCFG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'combined-sector-data'!$A$2:$A$7</c:f>
              <c:strCache>
                <c:ptCount val="6"/>
                <c:pt idx="0">
                  <c:v>Amundi S&amp;P World Communication Services</c:v>
                </c:pt>
                <c:pt idx="1">
                  <c:v>iShares Digital Security</c:v>
                </c:pt>
                <c:pt idx="2">
                  <c:v>Amundi MSCI Semiconductors</c:v>
                </c:pt>
                <c:pt idx="3">
                  <c:v>iShares MSCI World Information Technology</c:v>
                </c:pt>
                <c:pt idx="4">
                  <c:v>iShares MSCI World Consumer Discretionary</c:v>
                </c:pt>
                <c:pt idx="5">
                  <c:v>Invesco FTSE All-World ETF</c:v>
                </c:pt>
              </c:strCache>
            </c:strRef>
          </c:cat>
          <c:val>
            <c:numRef>
              <c:f>'combined-sector-data'!$O$2:$O$7</c:f>
              <c:numCache>
                <c:formatCode>General</c:formatCode>
                <c:ptCount val="6"/>
                <c:pt idx="0">
                  <c:v>1.1753837099591766</c:v>
                </c:pt>
                <c:pt idx="1">
                  <c:v>0.67973155494254811</c:v>
                </c:pt>
                <c:pt idx="2">
                  <c:v>1.1687120024181816</c:v>
                </c:pt>
                <c:pt idx="3">
                  <c:v>1.3728243822828974</c:v>
                </c:pt>
                <c:pt idx="4">
                  <c:v>0.56189345372892796</c:v>
                </c:pt>
                <c:pt idx="5">
                  <c:v>2.2742758308067299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9-9C49-8795-A985557D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352111"/>
        <c:axId val="2093353839"/>
      </c:barChart>
      <c:catAx>
        <c:axId val="209335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93353839"/>
        <c:crosses val="autoZero"/>
        <c:auto val="1"/>
        <c:lblAlgn val="ctr"/>
        <c:lblOffset val="100"/>
        <c:noMultiLvlLbl val="0"/>
      </c:catAx>
      <c:valAx>
        <c:axId val="20933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9335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Normalized PEG PCFG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'combined-sector-data'!$A$2:$A$7</c:f>
              <c:strCache>
                <c:ptCount val="6"/>
                <c:pt idx="0">
                  <c:v>Amundi S&amp;P World Communication Services</c:v>
                </c:pt>
                <c:pt idx="1">
                  <c:v>iShares Digital Security</c:v>
                </c:pt>
                <c:pt idx="2">
                  <c:v>Amundi MSCI Semiconductors</c:v>
                </c:pt>
                <c:pt idx="3">
                  <c:v>iShares MSCI World Information Technology</c:v>
                </c:pt>
                <c:pt idx="4">
                  <c:v>iShares MSCI World Consumer Discretionary</c:v>
                </c:pt>
                <c:pt idx="5">
                  <c:v>Invesco FTSE All-World ETF</c:v>
                </c:pt>
              </c:strCache>
            </c:strRef>
          </c:cat>
          <c:val>
            <c:numRef>
              <c:f>'combined-sector-data'!$P$2:$P$7</c:f>
              <c:numCache>
                <c:formatCode>General</c:formatCode>
                <c:ptCount val="6"/>
                <c:pt idx="0">
                  <c:v>1.2455748729236022</c:v>
                </c:pt>
                <c:pt idx="1">
                  <c:v>1.2673784513355371</c:v>
                </c:pt>
                <c:pt idx="2">
                  <c:v>1.3167783917123366</c:v>
                </c:pt>
                <c:pt idx="3">
                  <c:v>1.7280379280542042</c:v>
                </c:pt>
                <c:pt idx="4">
                  <c:v>1.7523130140804688</c:v>
                </c:pt>
                <c:pt idx="5">
                  <c:v>2.3353721245284502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884C-8DA2-E7029666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477583"/>
        <c:axId val="2077479311"/>
      </c:barChart>
      <c:catAx>
        <c:axId val="20774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479311"/>
        <c:crosses val="autoZero"/>
        <c:auto val="1"/>
        <c:lblAlgn val="ctr"/>
        <c:lblOffset val="100"/>
        <c:noMultiLvlLbl val="0"/>
      </c:catAx>
      <c:valAx>
        <c:axId val="20774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4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Drawdown from 1 Year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'combined-price-data'!$A$2:$A$7</c:f>
              <c:strCache>
                <c:ptCount val="6"/>
                <c:pt idx="0">
                  <c:v>Amundi S&amp;P World Communication Services</c:v>
                </c:pt>
                <c:pt idx="1">
                  <c:v>iShares Digital Security</c:v>
                </c:pt>
                <c:pt idx="2">
                  <c:v>Amundi MSCI Semiconductors</c:v>
                </c:pt>
                <c:pt idx="3">
                  <c:v>Invesco FTSE All-World ETF</c:v>
                </c:pt>
                <c:pt idx="4">
                  <c:v>iShares MSCI World Consumer Discretionary</c:v>
                </c:pt>
                <c:pt idx="5">
                  <c:v>iShares MSCI World Information Technology</c:v>
                </c:pt>
              </c:strCache>
            </c:strRef>
          </c:cat>
          <c:val>
            <c:numRef>
              <c:f>'combined-price-data'!$H$2:$H$7</c:f>
              <c:numCache>
                <c:formatCode>0.00%</c:formatCode>
                <c:ptCount val="6"/>
                <c:pt idx="0">
                  <c:v>7.1375306274635841E-3</c:v>
                </c:pt>
                <c:pt idx="1">
                  <c:v>1.9974577810059846E-2</c:v>
                </c:pt>
                <c:pt idx="2">
                  <c:v>2.9361520392910512E-2</c:v>
                </c:pt>
                <c:pt idx="3">
                  <c:v>4.8278688524590274E-2</c:v>
                </c:pt>
                <c:pt idx="4">
                  <c:v>0.14120841819416152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5-B144-9191-A6E7BE1D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423343"/>
        <c:axId val="2077449903"/>
      </c:barChart>
      <c:catAx>
        <c:axId val="20774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449903"/>
        <c:crosses val="autoZero"/>
        <c:auto val="1"/>
        <c:lblAlgn val="ctr"/>
        <c:lblOffset val="100"/>
        <c:noMultiLvlLbl val="0"/>
      </c:catAx>
      <c:valAx>
        <c:axId val="20774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42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Upside</a:t>
            </a:r>
            <a:r>
              <a:rPr lang="en-GB" baseline="0"/>
              <a:t> from 1 Year Low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'combined-price-data'!$A$2:$A$7</c:f>
              <c:strCache>
                <c:ptCount val="6"/>
                <c:pt idx="0">
                  <c:v>Amundi S&amp;P World Communication Services</c:v>
                </c:pt>
                <c:pt idx="1">
                  <c:v>iShares Digital Security</c:v>
                </c:pt>
                <c:pt idx="2">
                  <c:v>Amundi MSCI Semiconductors</c:v>
                </c:pt>
                <c:pt idx="3">
                  <c:v>Invesco FTSE All-World ETF</c:v>
                </c:pt>
                <c:pt idx="4">
                  <c:v>iShares MSCI World Consumer Discretionary</c:v>
                </c:pt>
                <c:pt idx="5">
                  <c:v>iShares MSCI World Information Technology</c:v>
                </c:pt>
              </c:strCache>
            </c:strRef>
          </c:cat>
          <c:val>
            <c:numRef>
              <c:f>'combined-price-data'!$I$2:$I$7</c:f>
              <c:numCache>
                <c:formatCode>0.00%</c:formatCode>
                <c:ptCount val="6"/>
                <c:pt idx="0">
                  <c:v>0.26975476839237067</c:v>
                </c:pt>
                <c:pt idx="1">
                  <c:v>0.32474226804123729</c:v>
                </c:pt>
                <c:pt idx="2">
                  <c:v>0.7198259553537647</c:v>
                </c:pt>
                <c:pt idx="3">
                  <c:v>0.30446017301426798</c:v>
                </c:pt>
                <c:pt idx="4">
                  <c:v>1.3332308638180139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8-A94C-9D2A-2A37B2916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152912"/>
        <c:axId val="819281839"/>
      </c:barChart>
      <c:catAx>
        <c:axId val="50315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9281839"/>
        <c:crosses val="autoZero"/>
        <c:auto val="1"/>
        <c:lblAlgn val="ctr"/>
        <c:lblOffset val="100"/>
        <c:noMultiLvlLbl val="0"/>
      </c:catAx>
      <c:valAx>
        <c:axId val="8192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0315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177800</xdr:rowOff>
    </xdr:from>
    <xdr:to>
      <xdr:col>5</xdr:col>
      <xdr:colOff>1612900</xdr:colOff>
      <xdr:row>47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4A3BC-A5F0-619E-C24D-AAE8A17F7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190500</xdr:rowOff>
    </xdr:from>
    <xdr:to>
      <xdr:col>14</xdr:col>
      <xdr:colOff>330200</xdr:colOff>
      <xdr:row>48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E120A6-A342-8D33-9987-D5205A7E9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317500</xdr:colOff>
      <xdr:row>7</xdr:row>
      <xdr:rowOff>190500</xdr:rowOff>
    </xdr:from>
    <xdr:to>
      <xdr:col>19</xdr:col>
      <xdr:colOff>1130300</xdr:colOff>
      <xdr:row>48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B54E53-2FA0-F978-457C-EC406F0A7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7</xdr:row>
      <xdr:rowOff>190500</xdr:rowOff>
    </xdr:from>
    <xdr:to>
      <xdr:col>6</xdr:col>
      <xdr:colOff>1181100</xdr:colOff>
      <xdr:row>43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B46FF-C8DA-B828-A7CB-44AB55504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1181100</xdr:colOff>
      <xdr:row>7</xdr:row>
      <xdr:rowOff>190500</xdr:rowOff>
    </xdr:from>
    <xdr:to>
      <xdr:col>14</xdr:col>
      <xdr:colOff>368300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192EF-9EAD-368A-E9AE-7E08027CC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rs Graetz" id="{B78AF44D-ACB0-A944-B659-F902B39A5CB1}" userId="443645a3359020e4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FD5AEC-4F07-0841-9A8E-15932A4E2192}" autoFormatId="16" applyNumberFormats="0" applyBorderFormats="0" applyFontFormats="0" applyPatternFormats="0" applyAlignmentFormats="0" applyWidthHeightFormats="0">
  <queryTableRefresh nextId="35" unboundColumnsRight="3">
    <queryTableFields count="16">
      <queryTableField id="1" name="fund_name" tableColumnId="1"/>
      <queryTableField id="2" name="fund_id" tableColumnId="2"/>
      <queryTableField id="13" name="portfolioDate" tableColumnId="13"/>
      <queryTableField id="18" name="Price/Earnings" tableColumnId="3"/>
      <queryTableField id="23" name="Long-Term Earnings %" tableColumnId="8"/>
      <queryTableField id="24" name="Historical Earnings %" tableColumnId="9"/>
      <queryTableField id="21" name="Price/Cashflow" tableColumnId="6"/>
      <queryTableField id="27" name="Cashflow Growth %" tableColumnId="12"/>
      <queryTableField id="20" name="Price/Sales" tableColumnId="5"/>
      <queryTableField id="26" name="Sales Growth %" tableColumnId="11"/>
      <queryTableField id="19" name="Price/Book" tableColumnId="4"/>
      <queryTableField id="25" name="Book-Value Growth %" tableColumnId="10"/>
      <queryTableField id="22" name="Dividend Yield" tableColumnId="7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6A430A9-D734-004A-B89A-A6657E7B90A1}" autoFormatId="16" applyNumberFormats="0" applyBorderFormats="0" applyFontFormats="0" applyPatternFormats="0" applyAlignmentFormats="0" applyWidthHeightFormats="0">
  <queryTableRefresh nextId="34" unboundColumnsRight="2">
    <queryTableFields count="9">
      <queryTableField id="1" name="fund_name" tableColumnId="1"/>
      <queryTableField id="2" name="fund_id" tableColumnId="2"/>
      <queryTableField id="3" name="fetch_timestamp" tableColumnId="3"/>
      <queryTableField id="7" name="asOfDate" tableColumnId="7"/>
      <queryTableField id="4" name="lastPrice" tableColumnId="4"/>
      <queryTableField id="11" name="yearRangeHigh" tableColumnId="11"/>
      <queryTableField id="12" name="yearRangeLow" tableColumnId="12"/>
      <queryTableField id="28" dataBound="0" tableColumnId="28"/>
      <queryTableField id="32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D17620-8AEE-EA4C-8830-324F92C8D68D}" name="combined_sector_data" displayName="combined_sector_data" ref="A1:P7" tableType="queryTable" totalsRowShown="0">
  <autoFilter ref="A1:P7" xr:uid="{56D17620-8AEE-EA4C-8830-324F92C8D68D}"/>
  <sortState xmlns:xlrd2="http://schemas.microsoft.com/office/spreadsheetml/2017/richdata2" ref="A2:P7">
    <sortCondition ref="P1:P7"/>
  </sortState>
  <tableColumns count="16">
    <tableColumn id="1" xr3:uid="{F6AF3527-5E40-F74B-A558-B74898A0C5C5}" uniqueName="1" name="fund_name" queryTableFieldId="1" dataDxfId="11"/>
    <tableColumn id="2" xr3:uid="{D515F700-2C5B-E646-B22C-CD080F0AF05F}" uniqueName="2" name="fund_id" queryTableFieldId="2" dataDxfId="10"/>
    <tableColumn id="13" xr3:uid="{842C0F90-5B41-234E-8BA9-7EF7E3260404}" uniqueName="13" name="portfolioDate" queryTableFieldId="13" dataDxfId="4"/>
    <tableColumn id="3" xr3:uid="{4C181826-BB39-924F-A377-E14087065C90}" uniqueName="3" name="Price/Earnings" queryTableFieldId="18"/>
    <tableColumn id="8" xr3:uid="{35D43862-3776-8C4C-BB93-1CCA388B3C0F}" uniqueName="8" name="Long-Term Earnings %" queryTableFieldId="23"/>
    <tableColumn id="9" xr3:uid="{C860C9A3-7C19-2440-9EB0-BEE482CC45E1}" uniqueName="9" name="Historical Earnings %" queryTableFieldId="24"/>
    <tableColumn id="6" xr3:uid="{15390955-1A4A-D842-90D3-7DD21034FF0E}" uniqueName="6" name="Price/Cashflow" queryTableFieldId="21"/>
    <tableColumn id="12" xr3:uid="{82B8DB3E-41D2-1743-8FA8-AEB0E012BA68}" uniqueName="12" name="Cashflow Growth %" queryTableFieldId="27"/>
    <tableColumn id="5" xr3:uid="{573AE3BB-7834-554B-908C-CD3DFA72C90D}" uniqueName="5" name="Price/Sales" queryTableFieldId="20"/>
    <tableColumn id="11" xr3:uid="{FBFBE56F-3E52-3D45-8EC1-3BD1EA1C9F9B}" uniqueName="11" name="Sales Growth %" queryTableFieldId="26"/>
    <tableColumn id="4" xr3:uid="{3350C191-183C-F94A-9CE9-BE930C49F648}" uniqueName="4" name="Price/Book" queryTableFieldId="19"/>
    <tableColumn id="10" xr3:uid="{1137C8DB-5C68-5443-8082-06D835B785D3}" uniqueName="10" name="Book-Value Growth %" queryTableFieldId="25"/>
    <tableColumn id="7" xr3:uid="{DEC20012-EA3E-F14F-8BF5-8286111DDFBB}" uniqueName="7" name="Dividend Yield" queryTableFieldId="22"/>
    <tableColumn id="15" xr3:uid="{CAA0696A-C17C-1B4B-B257-1DA013BE1D1E}" uniqueName="15" name="PEG" queryTableFieldId="15" dataDxfId="9">
      <calculatedColumnFormula>combined_sector_data[[#This Row],[Price/Earnings]]/((combined_sector_data[[#This Row],[Long-Term Earnings %]]+combined_sector_data[[#This Row],[Historical Earnings %]])/2)</calculatedColumnFormula>
    </tableColumn>
    <tableColumn id="16" xr3:uid="{FEC3B4A2-F96E-FD47-A617-3BDE76CCFCB7}" uniqueName="16" name="PCFG" queryTableFieldId="16" dataDxfId="8">
      <calculatedColumnFormula>combined_sector_data[[#This Row],[Price/Cashflow]]/combined_sector_data[[#This Row],[Cashflow Growth %]]</calculatedColumnFormula>
    </tableColumn>
    <tableColumn id="17" xr3:uid="{16B97654-4CB8-A141-BD98-FAF15B7C939D}" uniqueName="17" name="Normalized PEG PCFG" queryTableFieldId="17" dataDxfId="7">
      <calculatedColumnFormula>SUM(combined_sector_data[[#This Row],[PEG]],combined_sector_data[[#This Row],[PCFG]])/2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6280DE-F01B-084E-8E2F-A23C10E55C95}" name="combined_price_data" displayName="combined_price_data" ref="A1:I7" tableType="queryTable" totalsRowShown="0">
  <autoFilter ref="A1:I7" xr:uid="{6C6280DE-F01B-084E-8E2F-A23C10E55C95}"/>
  <sortState xmlns:xlrd2="http://schemas.microsoft.com/office/spreadsheetml/2017/richdata2" ref="A2:I7">
    <sortCondition ref="H1:H7"/>
  </sortState>
  <tableColumns count="9">
    <tableColumn id="1" xr3:uid="{C91FA899-3351-A14C-A4FF-5067438C538B}" uniqueName="1" name="fund_name" queryTableFieldId="1" dataDxfId="6"/>
    <tableColumn id="2" xr3:uid="{6C4FE22A-76C6-874A-AF46-58BA546780C6}" uniqueName="2" name="fund_id" queryTableFieldId="2" dataDxfId="5"/>
    <tableColumn id="3" xr3:uid="{B1B0BFC9-14E7-4F42-BFCD-0E321671AE75}" uniqueName="3" name="fetch_timestamp" queryTableFieldId="3" dataDxfId="3"/>
    <tableColumn id="7" xr3:uid="{D5674375-39B6-5A4B-BDE0-F6DD21F07614}" uniqueName="7" name="asOfDate" queryTableFieldId="7" dataDxfId="2"/>
    <tableColumn id="4" xr3:uid="{93F8B369-2643-0641-8284-856F74F2DCBC}" uniqueName="4" name="lastPrice" queryTableFieldId="4"/>
    <tableColumn id="11" xr3:uid="{911718CF-29D2-C84F-B321-34603C2BF8EB}" uniqueName="11" name="yearRangeHigh" queryTableFieldId="11"/>
    <tableColumn id="12" xr3:uid="{462A0F41-91CC-644D-96E5-0C34FC9A3266}" uniqueName="12" name="yearRangeLow" queryTableFieldId="12"/>
    <tableColumn id="28" xr3:uid="{BDBEA38F-B01D-1B4E-8C53-04616F1CAC7C}" uniqueName="28" name="Deviation from Year High" queryTableFieldId="28" dataDxfId="1">
      <calculatedColumnFormula>1-combined_price_data[[#This Row],[lastPrice]]/combined_price_data[[#This Row],[yearRangeHigh]]</calculatedColumnFormula>
    </tableColumn>
    <tableColumn id="6" xr3:uid="{146EE61E-2228-884C-A664-802AF98478A4}" uniqueName="6" name="Deviation from Year Low" queryTableFieldId="32" dataDxfId="0">
      <calculatedColumnFormula>combined_price_data[[#This Row],[lastPrice]]/combined_price_data[[#This Row],[yearRangeLow]]-1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8-22T09:08:25.59" personId="{B78AF44D-ACB0-A944-B659-F902B39A5CB1}" id="{CD480A6D-2749-5B41-9BB7-143EC83087C6}">
    <text>The year range low seems to include way to low data. This should not be used with confidence.</text>
  </threadedComment>
  <threadedComment ref="I1" dT="2025-08-22T09:09:05.77" personId="{B78AF44D-ACB0-A944-B659-F902B39A5CB1}" id="{306A134F-3CDC-3D4D-B137-7AAAF48BC503}">
    <text>Because of the weirdly low data from the year range lows this deviation is also not always correct.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1880-21A1-1C4B-BB6C-4C9E79FEF14F}">
  <dimension ref="A1:P7"/>
  <sheetViews>
    <sheetView tabSelected="1" workbookViewId="0">
      <selection activeCell="R7" sqref="R7"/>
    </sheetView>
  </sheetViews>
  <sheetFormatPr baseColWidth="10" defaultRowHeight="16" x14ac:dyDescent="0.2"/>
  <cols>
    <col min="1" max="1" width="37.83203125" bestFit="1" customWidth="1"/>
    <col min="2" max="2" width="11.5" bestFit="1" customWidth="1"/>
    <col min="3" max="3" width="14.6640625" bestFit="1" customWidth="1"/>
    <col min="4" max="4" width="15.83203125" bestFit="1" customWidth="1"/>
    <col min="5" max="5" width="22" bestFit="1" customWidth="1"/>
    <col min="6" max="6" width="21.33203125" bestFit="1" customWidth="1"/>
    <col min="7" max="7" width="16.5" bestFit="1" customWidth="1"/>
    <col min="8" max="8" width="19.83203125" bestFit="1" customWidth="1"/>
    <col min="9" max="9" width="13.1640625" bestFit="1" customWidth="1"/>
    <col min="10" max="10" width="16.33203125" bestFit="1" customWidth="1"/>
    <col min="11" max="11" width="12.83203125" bestFit="1" customWidth="1"/>
    <col min="12" max="12" width="21.5" bestFit="1" customWidth="1"/>
    <col min="13" max="13" width="15.1640625" bestFit="1" customWidth="1"/>
    <col min="14" max="15" width="12.1640625" bestFit="1" customWidth="1"/>
    <col min="16" max="16" width="22.33203125" bestFit="1" customWidth="1"/>
    <col min="17" max="17" width="24.83203125" bestFit="1" customWidth="1"/>
    <col min="18" max="18" width="31" bestFit="1" customWidth="1"/>
    <col min="19" max="19" width="26.1640625" bestFit="1" customWidth="1"/>
    <col min="20" max="20" width="27.83203125" bestFit="1" customWidth="1"/>
    <col min="21" max="21" width="26" bestFit="1" customWidth="1"/>
    <col min="22" max="22" width="27.1640625" bestFit="1" customWidth="1"/>
    <col min="23" max="23" width="14.6640625" bestFit="1" customWidth="1"/>
    <col min="24" max="24" width="12.33203125" bestFit="1" customWidth="1"/>
    <col min="25" max="25" width="12.1640625" bestFit="1" customWidth="1"/>
    <col min="26" max="26" width="12.83203125" bestFit="1" customWidth="1"/>
    <col min="27" max="27" width="22.33203125" bestFit="1" customWidth="1"/>
  </cols>
  <sheetData>
    <row r="1" spans="1:16" x14ac:dyDescent="0.2">
      <c r="A1" t="s">
        <v>8</v>
      </c>
      <c r="B1" t="s">
        <v>0</v>
      </c>
      <c r="C1" t="s">
        <v>1</v>
      </c>
      <c r="D1" t="s">
        <v>19</v>
      </c>
      <c r="E1" t="s">
        <v>24</v>
      </c>
      <c r="F1" t="s">
        <v>25</v>
      </c>
      <c r="G1" t="s">
        <v>22</v>
      </c>
      <c r="H1" t="s">
        <v>28</v>
      </c>
      <c r="I1" t="s">
        <v>21</v>
      </c>
      <c r="J1" t="s">
        <v>27</v>
      </c>
      <c r="K1" t="s">
        <v>20</v>
      </c>
      <c r="L1" t="s">
        <v>26</v>
      </c>
      <c r="M1" t="s">
        <v>23</v>
      </c>
      <c r="N1" t="s">
        <v>5</v>
      </c>
      <c r="O1" t="s">
        <v>6</v>
      </c>
      <c r="P1" t="s">
        <v>7</v>
      </c>
    </row>
    <row r="2" spans="1:16" x14ac:dyDescent="0.2">
      <c r="A2" t="s">
        <v>14</v>
      </c>
      <c r="B2" t="s">
        <v>3</v>
      </c>
      <c r="C2" s="1">
        <v>45889.208333333336</v>
      </c>
      <c r="D2">
        <v>22.248629999999999</v>
      </c>
      <c r="E2">
        <v>8.5955899999999996</v>
      </c>
      <c r="F2">
        <v>25.222930000000002</v>
      </c>
      <c r="G2">
        <v>12.582129999999999</v>
      </c>
      <c r="H2">
        <v>10.704700000000001</v>
      </c>
      <c r="I2">
        <v>4.0103</v>
      </c>
      <c r="J2">
        <v>8.2994500000000002</v>
      </c>
      <c r="K2">
        <v>4.4446199999999996</v>
      </c>
      <c r="L2">
        <v>5.7464500000000003</v>
      </c>
      <c r="M2">
        <v>1.30646</v>
      </c>
      <c r="N2">
        <f>combined_sector_data[[#This Row],[Price/Earnings]]/((combined_sector_data[[#This Row],[Long-Term Earnings %]]+combined_sector_data[[#This Row],[Historical Earnings %]])/2)</f>
        <v>1.3157660358880281</v>
      </c>
      <c r="O2">
        <f>combined_sector_data[[#This Row],[Price/Cashflow]]/combined_sector_data[[#This Row],[Cashflow Growth %]]</f>
        <v>1.1753837099591766</v>
      </c>
      <c r="P2">
        <f>SUM(combined_sector_data[[#This Row],[PEG]],combined_sector_data[[#This Row],[PCFG]])/2</f>
        <v>1.2455748729236022</v>
      </c>
    </row>
    <row r="3" spans="1:16" x14ac:dyDescent="0.2">
      <c r="A3" t="s">
        <v>31</v>
      </c>
      <c r="B3" t="s">
        <v>32</v>
      </c>
      <c r="C3" s="1">
        <v>45890.208333333336</v>
      </c>
      <c r="D3">
        <v>24.55293</v>
      </c>
      <c r="E3">
        <v>10.224729999999999</v>
      </c>
      <c r="F3">
        <v>16.247070000000001</v>
      </c>
      <c r="G3">
        <v>13.542719999999999</v>
      </c>
      <c r="H3">
        <v>19.923629999999999</v>
      </c>
      <c r="I3">
        <v>2.4579499999999999</v>
      </c>
      <c r="J3">
        <v>5.0048000000000004</v>
      </c>
      <c r="K3">
        <v>3.8790800000000001</v>
      </c>
      <c r="L3">
        <v>5.24817</v>
      </c>
      <c r="M3">
        <v>1.0442899999999999</v>
      </c>
      <c r="N3">
        <f>combined_sector_data[[#This Row],[Price/Earnings]]/((combined_sector_data[[#This Row],[Long-Term Earnings %]]+combined_sector_data[[#This Row],[Historical Earnings %]])/2)</f>
        <v>1.8550253477285261</v>
      </c>
      <c r="O3">
        <f>combined_sector_data[[#This Row],[Price/Cashflow]]/combined_sector_data[[#This Row],[Cashflow Growth %]]</f>
        <v>0.67973155494254811</v>
      </c>
      <c r="P3">
        <f>SUM(combined_sector_data[[#This Row],[PEG]],combined_sector_data[[#This Row],[PCFG]])/2</f>
        <v>1.2673784513355371</v>
      </c>
    </row>
    <row r="4" spans="1:16" x14ac:dyDescent="0.2">
      <c r="A4" t="s">
        <v>33</v>
      </c>
      <c r="B4" t="s">
        <v>34</v>
      </c>
      <c r="C4" s="1">
        <v>45889.208333333336</v>
      </c>
      <c r="D4">
        <v>26.945080000000001</v>
      </c>
      <c r="E4">
        <v>20.252469999999999</v>
      </c>
      <c r="F4">
        <v>16.536519999999999</v>
      </c>
      <c r="G4">
        <v>18.133489999999998</v>
      </c>
      <c r="H4">
        <v>15.515790000000001</v>
      </c>
      <c r="I4">
        <v>8.0986799999999999</v>
      </c>
      <c r="J4">
        <v>11.409179999999999</v>
      </c>
      <c r="K4">
        <v>7.3262600000000004</v>
      </c>
      <c r="L4">
        <v>15.359819999999999</v>
      </c>
      <c r="M4">
        <v>0.87292999999999998</v>
      </c>
      <c r="N4">
        <f>combined_sector_data[[#This Row],[Price/Earnings]]/((combined_sector_data[[#This Row],[Long-Term Earnings %]]+combined_sector_data[[#This Row],[Historical Earnings %]])/2)</f>
        <v>1.4648447810064915</v>
      </c>
      <c r="O4">
        <f>combined_sector_data[[#This Row],[Price/Cashflow]]/combined_sector_data[[#This Row],[Cashflow Growth %]]</f>
        <v>1.1687120024181816</v>
      </c>
      <c r="P4">
        <f>SUM(combined_sector_data[[#This Row],[PEG]],combined_sector_data[[#This Row],[PCFG]])/2</f>
        <v>1.3167783917123366</v>
      </c>
    </row>
    <row r="5" spans="1:16" x14ac:dyDescent="0.2">
      <c r="A5" t="s">
        <v>15</v>
      </c>
      <c r="B5" t="s">
        <v>4</v>
      </c>
      <c r="C5" s="1">
        <v>45890.208333333336</v>
      </c>
      <c r="D5">
        <v>29.393719999999998</v>
      </c>
      <c r="E5">
        <v>12.940939999999999</v>
      </c>
      <c r="F5">
        <v>15.27814</v>
      </c>
      <c r="G5">
        <v>21.980250000000002</v>
      </c>
      <c r="H5">
        <v>16.01097</v>
      </c>
      <c r="I5">
        <v>6.0317699999999999</v>
      </c>
      <c r="J5">
        <v>7.0119999999999996</v>
      </c>
      <c r="K5">
        <v>8.0153999999999996</v>
      </c>
      <c r="L5">
        <v>12.86927</v>
      </c>
      <c r="M5">
        <v>0.65444000000000002</v>
      </c>
      <c r="N5">
        <f>combined_sector_data[[#This Row],[Price/Earnings]]/((combined_sector_data[[#This Row],[Long-Term Earnings %]]+combined_sector_data[[#This Row],[Historical Earnings %]])/2)</f>
        <v>2.083251473825511</v>
      </c>
      <c r="O5">
        <f>combined_sector_data[[#This Row],[Price/Cashflow]]/combined_sector_data[[#This Row],[Cashflow Growth %]]</f>
        <v>1.3728243822828974</v>
      </c>
      <c r="P5">
        <f>SUM(combined_sector_data[[#This Row],[PEG]],combined_sector_data[[#This Row],[PCFG]])/2</f>
        <v>1.7280379280542042</v>
      </c>
    </row>
    <row r="6" spans="1:16" x14ac:dyDescent="0.2">
      <c r="A6" t="s">
        <v>16</v>
      </c>
      <c r="B6" t="s">
        <v>2</v>
      </c>
      <c r="C6" s="1">
        <v>45890.208333333336</v>
      </c>
      <c r="D6">
        <v>23.890029999999999</v>
      </c>
      <c r="E6">
        <v>9.11144</v>
      </c>
      <c r="F6">
        <v>7.1251899999999999</v>
      </c>
      <c r="G6">
        <v>12.90971</v>
      </c>
      <c r="H6">
        <v>22.975370000000002</v>
      </c>
      <c r="I6">
        <v>1.86646</v>
      </c>
      <c r="J6">
        <v>8.5179500000000008</v>
      </c>
      <c r="K6">
        <v>3.4001000000000001</v>
      </c>
      <c r="L6">
        <v>11.19772</v>
      </c>
      <c r="M6">
        <v>1.3547499999999999</v>
      </c>
      <c r="N6">
        <f>combined_sector_data[[#This Row],[Price/Earnings]]/((combined_sector_data[[#This Row],[Long-Term Earnings %]]+combined_sector_data[[#This Row],[Historical Earnings %]])/2)</f>
        <v>2.9427325744320099</v>
      </c>
      <c r="O6">
        <f>combined_sector_data[[#This Row],[Price/Cashflow]]/combined_sector_data[[#This Row],[Cashflow Growth %]]</f>
        <v>0.56189345372892796</v>
      </c>
      <c r="P6">
        <f>SUM(combined_sector_data[[#This Row],[PEG]],combined_sector_data[[#This Row],[PCFG]])/2</f>
        <v>1.7523130140804688</v>
      </c>
    </row>
    <row r="7" spans="1:16" x14ac:dyDescent="0.2">
      <c r="A7" t="s">
        <v>29</v>
      </c>
      <c r="B7" t="s">
        <v>30</v>
      </c>
      <c r="C7" s="1">
        <v>45889.208333333336</v>
      </c>
      <c r="D7">
        <v>19.397950000000002</v>
      </c>
      <c r="E7">
        <v>9.0573300000000003</v>
      </c>
      <c r="F7">
        <v>7.1314500000000001</v>
      </c>
      <c r="G7">
        <v>12.24179</v>
      </c>
      <c r="H7">
        <v>5.3827199999999999</v>
      </c>
      <c r="I7">
        <v>2.14195</v>
      </c>
      <c r="J7">
        <v>6.0032699999999997</v>
      </c>
      <c r="K7">
        <v>2.8384499999999999</v>
      </c>
      <c r="L7">
        <v>7.2284600000000001</v>
      </c>
      <c r="M7">
        <v>2.0556199999999998</v>
      </c>
      <c r="N7">
        <f>combined_sector_data[[#This Row],[Price/Earnings]]/((combined_sector_data[[#This Row],[Long-Term Earnings %]]+combined_sector_data[[#This Row],[Historical Earnings %]])/2)</f>
        <v>2.396468418250171</v>
      </c>
      <c r="O7">
        <f>combined_sector_data[[#This Row],[Price/Cashflow]]/combined_sector_data[[#This Row],[Cashflow Growth %]]</f>
        <v>2.2742758308067299</v>
      </c>
      <c r="P7">
        <f>SUM(combined_sector_data[[#This Row],[PEG]],combined_sector_data[[#This Row],[PCFG]])/2</f>
        <v>2.3353721245284502</v>
      </c>
    </row>
  </sheetData>
  <phoneticPr fontId="1" type="noConversion"/>
  <conditionalFormatting sqref="P1:P7">
    <cfRule type="colorScale" priority="1">
      <colorScale>
        <cfvo type="num" val="0"/>
        <cfvo type="num" val="1.5"/>
        <cfvo type="num" val="3"/>
        <color theme="9" tint="-0.249977111117893"/>
        <color rgb="FFFFEB84"/>
        <color theme="5" tint="-0.249977111117893"/>
      </colorScale>
    </cfRule>
  </conditionalFormatting>
  <conditionalFormatting sqref="N1:N7">
    <cfRule type="colorScale" priority="47">
      <colorScale>
        <cfvo type="num" val="0"/>
        <cfvo type="num" val="1.5"/>
        <cfvo type="num" val="3"/>
        <color theme="9" tint="-0.249977111117893"/>
        <color rgb="FFFFEB84"/>
        <color theme="5" tint="-0.249977111117893"/>
      </colorScale>
    </cfRule>
    <cfRule type="colorScale" priority="48">
      <colorScale>
        <cfvo type="num" val="0"/>
        <cfvo type="percentile" val="50"/>
        <cfvo type="max"/>
        <color theme="9" tint="-0.249977111117893"/>
        <color rgb="FFFFFF00"/>
        <color theme="5" tint="-0.249977111117893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7">
    <cfRule type="colorScale" priority="53">
      <colorScale>
        <cfvo type="num" val="0"/>
        <cfvo type="num" val="1.5"/>
        <cfvo type="num" val="3"/>
        <color theme="9" tint="-0.249977111117893"/>
        <color rgb="FFFFEB84"/>
        <color theme="5" tint="-0.249977111117893"/>
      </colorScale>
    </cfRule>
    <cfRule type="colorScale" priority="54">
      <colorScale>
        <cfvo type="num" val="0"/>
        <cfvo type="percentile" val="50"/>
        <cfvo type="max"/>
        <color theme="9" tint="-0.249977111117893"/>
        <color rgb="FFFFEB84"/>
        <color rgb="FFC00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6D7-F0FB-694B-B151-15812050D9AF}">
  <dimension ref="A1:AB11"/>
  <sheetViews>
    <sheetView workbookViewId="0">
      <selection activeCell="B7" sqref="B7"/>
    </sheetView>
  </sheetViews>
  <sheetFormatPr baseColWidth="10" defaultRowHeight="16" x14ac:dyDescent="0.2"/>
  <cols>
    <col min="1" max="1" width="37.83203125" bestFit="1" customWidth="1"/>
    <col min="2" max="2" width="11.5" bestFit="1" customWidth="1"/>
    <col min="3" max="3" width="18" bestFit="1" customWidth="1"/>
    <col min="4" max="4" width="13" bestFit="1" customWidth="1"/>
    <col min="5" max="5" width="11.1640625" bestFit="1" customWidth="1"/>
    <col min="6" max="6" width="16.1640625" bestFit="1" customWidth="1"/>
    <col min="7" max="7" width="15.6640625" bestFit="1" customWidth="1"/>
    <col min="8" max="8" width="24.33203125" bestFit="1" customWidth="1"/>
    <col min="9" max="9" width="23.6640625" bestFit="1" customWidth="1"/>
    <col min="10" max="10" width="15.6640625" bestFit="1" customWidth="1"/>
    <col min="11" max="11" width="24.33203125" bestFit="1" customWidth="1"/>
    <col min="12" max="12" width="24.33203125" style="2" bestFit="1" customWidth="1"/>
    <col min="13" max="13" width="13.33203125" bestFit="1" customWidth="1"/>
    <col min="14" max="14" width="11.1640625" bestFit="1" customWidth="1"/>
    <col min="15" max="15" width="12.83203125" bestFit="1" customWidth="1"/>
    <col min="16" max="16" width="15.5" bestFit="1" customWidth="1"/>
    <col min="17" max="17" width="15" bestFit="1" customWidth="1"/>
    <col min="18" max="18" width="15.1640625" bestFit="1" customWidth="1"/>
    <col min="19" max="19" width="14.83203125" bestFit="1" customWidth="1"/>
    <col min="20" max="20" width="24" bestFit="1" customWidth="1"/>
    <col min="21" max="21" width="13.83203125" bestFit="1" customWidth="1"/>
    <col min="22" max="22" width="26" bestFit="1" customWidth="1"/>
    <col min="23" max="23" width="19.6640625" bestFit="1" customWidth="1"/>
    <col min="24" max="24" width="11.6640625" bestFit="1" customWidth="1"/>
    <col min="25" max="25" width="12.1640625" bestFit="1" customWidth="1"/>
    <col min="26" max="26" width="16.83203125" bestFit="1" customWidth="1"/>
    <col min="27" max="27" width="14.83203125" bestFit="1" customWidth="1"/>
    <col min="28" max="28" width="24.33203125" style="2" bestFit="1" customWidth="1"/>
  </cols>
  <sheetData>
    <row r="1" spans="1:28" x14ac:dyDescent="0.2">
      <c r="A1" t="s">
        <v>8</v>
      </c>
      <c r="B1" t="s">
        <v>0</v>
      </c>
      <c r="C1" t="s">
        <v>9</v>
      </c>
      <c r="D1" t="s">
        <v>11</v>
      </c>
      <c r="E1" t="s">
        <v>10</v>
      </c>
      <c r="F1" t="s">
        <v>12</v>
      </c>
      <c r="G1" t="s">
        <v>13</v>
      </c>
      <c r="H1" s="2" t="s">
        <v>17</v>
      </c>
      <c r="I1" s="2" t="s">
        <v>18</v>
      </c>
      <c r="L1"/>
      <c r="AB1"/>
    </row>
    <row r="2" spans="1:28" x14ac:dyDescent="0.2">
      <c r="A2" t="s">
        <v>14</v>
      </c>
      <c r="B2" t="s">
        <v>3</v>
      </c>
      <c r="C2" s="1">
        <v>45894.618391099539</v>
      </c>
      <c r="D2" s="1">
        <v>45894.689166666663</v>
      </c>
      <c r="E2">
        <v>18.64</v>
      </c>
      <c r="F2">
        <v>18.774000000000001</v>
      </c>
      <c r="G2">
        <v>14.68</v>
      </c>
      <c r="H2" s="2">
        <f>1-combined_price_data[[#This Row],[lastPrice]]/combined_price_data[[#This Row],[yearRangeHigh]]</f>
        <v>7.1375306274635841E-3</v>
      </c>
      <c r="I2" s="2">
        <f>combined_price_data[[#This Row],[lastPrice]]/combined_price_data[[#This Row],[yearRangeLow]]-1</f>
        <v>0.26975476839237067</v>
      </c>
      <c r="L2"/>
      <c r="AB2"/>
    </row>
    <row r="3" spans="1:28" x14ac:dyDescent="0.2">
      <c r="A3" t="s">
        <v>31</v>
      </c>
      <c r="B3" t="s">
        <v>32</v>
      </c>
      <c r="C3" s="1">
        <v>45894.618461076388</v>
      </c>
      <c r="D3" s="1">
        <v>45891.691041666665</v>
      </c>
      <c r="E3">
        <v>10.794</v>
      </c>
      <c r="F3">
        <v>11.013999999999999</v>
      </c>
      <c r="G3">
        <v>8.1479999999999997</v>
      </c>
      <c r="H3" s="2">
        <f>1-combined_price_data[[#This Row],[lastPrice]]/combined_price_data[[#This Row],[yearRangeHigh]]</f>
        <v>1.9974577810059846E-2</v>
      </c>
      <c r="I3" s="2">
        <f>combined_price_data[[#This Row],[lastPrice]]/combined_price_data[[#This Row],[yearRangeLow]]-1</f>
        <v>0.32474226804123729</v>
      </c>
      <c r="L3"/>
      <c r="AB3"/>
    </row>
    <row r="4" spans="1:28" x14ac:dyDescent="0.2">
      <c r="A4" t="s">
        <v>33</v>
      </c>
      <c r="B4" t="s">
        <v>34</v>
      </c>
      <c r="C4" s="1">
        <v>45894.618466967593</v>
      </c>
      <c r="D4" s="1">
        <v>45894.375104166669</v>
      </c>
      <c r="E4">
        <v>90.91</v>
      </c>
      <c r="F4">
        <v>93.66</v>
      </c>
      <c r="G4">
        <v>52.86</v>
      </c>
      <c r="H4" s="2">
        <f>1-combined_price_data[[#This Row],[lastPrice]]/combined_price_data[[#This Row],[yearRangeHigh]]</f>
        <v>2.9361520392910512E-2</v>
      </c>
      <c r="I4" s="2">
        <f>combined_price_data[[#This Row],[lastPrice]]/combined_price_data[[#This Row],[yearRangeLow]]-1</f>
        <v>0.7198259553537647</v>
      </c>
      <c r="L4"/>
      <c r="AB4"/>
    </row>
    <row r="5" spans="1:28" x14ac:dyDescent="0.2">
      <c r="A5" t="s">
        <v>29</v>
      </c>
      <c r="B5" t="s">
        <v>30</v>
      </c>
      <c r="C5" s="1">
        <v>45894.618386354166</v>
      </c>
      <c r="D5" s="1">
        <v>45891.687384259261</v>
      </c>
      <c r="E5">
        <v>580.54999999999995</v>
      </c>
      <c r="F5">
        <v>610</v>
      </c>
      <c r="G5">
        <v>445.05</v>
      </c>
      <c r="H5" s="2">
        <f>1-combined_price_data[[#This Row],[lastPrice]]/combined_price_data[[#This Row],[yearRangeHigh]]</f>
        <v>4.8278688524590274E-2</v>
      </c>
      <c r="I5" s="2">
        <f>combined_price_data[[#This Row],[lastPrice]]/combined_price_data[[#This Row],[yearRangeLow]]-1</f>
        <v>0.30446017301426798</v>
      </c>
      <c r="L5"/>
      <c r="AB5"/>
    </row>
    <row r="6" spans="1:28" x14ac:dyDescent="0.2">
      <c r="A6" t="s">
        <v>16</v>
      </c>
      <c r="B6" t="s">
        <v>2</v>
      </c>
      <c r="C6" s="1">
        <v>45894.618456296295</v>
      </c>
      <c r="D6" s="1">
        <v>45894.685300925928</v>
      </c>
      <c r="E6">
        <v>7.59</v>
      </c>
      <c r="F6">
        <v>8.8379999999999992</v>
      </c>
      <c r="G6">
        <v>3.2530000000000001</v>
      </c>
      <c r="H6" s="2">
        <f>1-combined_price_data[[#This Row],[lastPrice]]/combined_price_data[[#This Row],[yearRangeHigh]]</f>
        <v>0.14120841819416152</v>
      </c>
      <c r="I6" s="2">
        <f>combined_price_data[[#This Row],[lastPrice]]/combined_price_data[[#This Row],[yearRangeLow]]-1</f>
        <v>1.3332308638180139</v>
      </c>
      <c r="L6"/>
      <c r="AB6"/>
    </row>
    <row r="7" spans="1:28" x14ac:dyDescent="0.2">
      <c r="A7" t="s">
        <v>15</v>
      </c>
      <c r="B7" t="s">
        <v>4</v>
      </c>
      <c r="C7" s="1">
        <v>45894.618396550926</v>
      </c>
      <c r="D7" s="1"/>
      <c r="H7" s="2" t="e">
        <f>1-combined_price_data[[#This Row],[lastPrice]]/combined_price_data[[#This Row],[yearRangeHigh]]</f>
        <v>#DIV/0!</v>
      </c>
      <c r="I7" s="2" t="e">
        <f>combined_price_data[[#This Row],[lastPrice]]/combined_price_data[[#This Row],[yearRangeLow]]-1</f>
        <v>#DIV/0!</v>
      </c>
      <c r="L7"/>
      <c r="AB7"/>
    </row>
    <row r="8" spans="1:28" x14ac:dyDescent="0.2">
      <c r="L8"/>
      <c r="AB8"/>
    </row>
    <row r="9" spans="1:28" x14ac:dyDescent="0.2">
      <c r="L9"/>
      <c r="AB9"/>
    </row>
    <row r="10" spans="1:28" x14ac:dyDescent="0.2">
      <c r="L10"/>
      <c r="AB10"/>
    </row>
    <row r="11" spans="1:28" x14ac:dyDescent="0.2">
      <c r="L11"/>
      <c r="AB11"/>
    </row>
  </sheetData>
  <conditionalFormatting sqref="I1:I7">
    <cfRule type="colorScale" priority="3">
      <colorScale>
        <cfvo type="num" val="1"/>
        <cfvo type="num" val="1.5"/>
        <cfvo type="num" val="2"/>
        <color theme="9" tint="-0.249977111117893"/>
        <color rgb="FFFFEB84"/>
        <color theme="5" tint="-0.249977111117893"/>
      </colorScale>
    </cfRule>
  </conditionalFormatting>
  <conditionalFormatting sqref="I2:I7">
    <cfRule type="colorScale" priority="1">
      <colorScale>
        <cfvo type="num" val="0"/>
        <cfvo type="num" val="0.5"/>
        <cfvo type="num" val="1"/>
        <color theme="9" tint="-0.249977111117893"/>
        <color rgb="FFFFEB84"/>
        <color theme="5" tint="-0.249977111117893"/>
      </colorScale>
    </cfRule>
  </conditionalFormatting>
  <conditionalFormatting sqref="AB12:AB1048576 H1:H7">
    <cfRule type="colorScale" priority="59">
      <colorScale>
        <cfvo type="min"/>
        <cfvo type="percentile" val="50"/>
        <cfvo type="max"/>
        <color theme="5" tint="-0.249977111117893"/>
        <color rgb="FFFFEB84"/>
        <color theme="9" tint="-0.249977111117893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2256F-368E-D645-B222-493C96419B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combined-sector-data</vt:lpstr>
      <vt:lpstr>combined-price-data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Graetz</dc:creator>
  <cp:lastModifiedBy>Lars Graetz</cp:lastModifiedBy>
  <dcterms:created xsi:type="dcterms:W3CDTF">2025-08-17T12:40:30Z</dcterms:created>
  <dcterms:modified xsi:type="dcterms:W3CDTF">2025-08-25T14:56:26Z</dcterms:modified>
</cp:coreProperties>
</file>